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ecommendations" sheetId="1" state="visible" r:id="rId1"/>
    <sheet xmlns:r="http://schemas.openxmlformats.org/officeDocument/2006/relationships" name="Summary by Priority" sheetId="2" state="visible" r:id="rId2"/>
    <sheet xmlns:r="http://schemas.openxmlformats.org/officeDocument/2006/relationships" name="Summary by Sector" sheetId="3" state="visible" r:id="rId3"/>
    <sheet xmlns:r="http://schemas.openxmlformats.org/officeDocument/2006/relationships" name="Summary by Region" sheetId="4" state="visible" r:id="rId4"/>
    <sheet xmlns:r="http://schemas.openxmlformats.org/officeDocument/2006/relationships" name="Summary by Start Year" sheetId="5" state="visible" r:id="rId5"/>
    <sheet xmlns:r="http://schemas.openxmlformats.org/officeDocument/2006/relationships" name="Summary by Action Type" sheetId="6" state="visible" r:id="rId6"/>
  </sheets>
  <definedNames>
    <definedName name="_xlnm._FilterDatabase" localSheetId="0" hidden="1">'AI Recommendations'!$A$1:$S$251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Skill Gap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by Priority'!C1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by Priority'!$A$2:$A$5</f>
            </numRef>
          </cat>
          <val>
            <numRef>
              <f>'Summary by Priority'!$C$2:$C$5</f>
            </numRef>
          </val>
        </ser>
        <ser>
          <idx val="1"/>
          <order val="1"/>
          <tx>
            <strRef>
              <f>'Summary by Priority'!D1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by Priority'!$A$2:$A$5</f>
            </numRef>
          </cat>
          <val>
            <numRef>
              <f>'Summary by Priority'!$D$2:$D$5</f>
            </numRef>
          </val>
        </ser>
        <ser>
          <idx val="2"/>
          <order val="2"/>
          <tx>
            <strRef>
              <f>'Summary by Priority'!E1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by Priority'!$A$2:$A$5</f>
            </numRef>
          </cat>
          <val>
            <numRef>
              <f>'Summary by Priority'!$E$2:$E$5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Priority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Workforce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Skill Gap by Sector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 by Sector'!E1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by Sector'!$A$2:$A$21</f>
            </numRef>
          </cat>
          <val>
            <numRef>
              <f>'Summary by Sector'!$E$2:$E$21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Skill Gap Trend by Start Year</a:t>
            </a:r>
          </a:p>
        </rich>
      </tx>
    </title>
    <plotArea>
      <lineChart>
        <grouping val="standard"/>
        <ser>
          <idx val="0"/>
          <order val="0"/>
          <tx>
            <strRef>
              <f>'Summary by Start Year'!D1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by Start Year'!$A$2:$A$5</f>
            </numRef>
          </cat>
          <val>
            <numRef>
              <f>'Summary by Start Year'!$D$2:$D$5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Recommendations by Action Type</a:t>
            </a:r>
          </a:p>
        </rich>
      </tx>
    </title>
    <plotArea>
      <pieChart>
        <varyColors val="1"/>
        <ser>
          <idx val="0"/>
          <order val="0"/>
          <tx>
            <strRef>
              <f>'Summary by Action Type'!B1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by Action Type'!$A$2:$A$11</f>
            </numRef>
          </cat>
          <val>
            <numRef>
              <f>'Summary by Action Type'!$B$2:$B$11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38" customWidth="1" min="3" max="3"/>
    <col width="26" customWidth="1" min="4" max="4"/>
    <col width="26" customWidth="1" min="5" max="5"/>
    <col width="18" customWidth="1" min="6" max="6"/>
    <col width="13" customWidth="1" min="7" max="7"/>
    <col width="22" customWidth="1" min="8" max="8"/>
    <col width="16" customWidth="1" min="9" max="9"/>
    <col width="18" customWidth="1" min="10" max="10"/>
    <col width="19" customWidth="1" min="11" max="11"/>
    <col width="13" customWidth="1" min="12" max="12"/>
    <col width="9" customWidth="1" min="13" max="13"/>
    <col width="16" customWidth="1" min="14" max="14"/>
    <col width="16" customWidth="1" min="15" max="15"/>
    <col width="12" customWidth="1" min="16" max="16"/>
    <col width="18" customWidth="1" min="17" max="17"/>
    <col width="16" customWidth="1" min="18" max="18"/>
    <col width="14" customWidth="1" min="19" max="19"/>
  </cols>
  <sheetData>
    <row r="1" ht="36" customHeight="1">
      <c r="A1" s="1" t="inlineStr">
        <is>
          <t>S.No</t>
        </is>
      </c>
      <c r="B1" s="1" t="inlineStr">
        <is>
          <t>Priority</t>
        </is>
      </c>
      <c r="C1" s="1" t="inlineStr">
        <is>
          <t>Recommendation Title</t>
        </is>
      </c>
      <c r="D1" s="1" t="inlineStr">
        <is>
          <t>Sector</t>
        </is>
      </c>
      <c r="E1" s="1" t="inlineStr">
        <is>
          <t>Department</t>
        </is>
      </c>
      <c r="F1" s="1" t="inlineStr">
        <is>
          <t>Region</t>
        </is>
      </c>
      <c r="G1" s="1" t="inlineStr">
        <is>
          <t>Horizon</t>
        </is>
      </c>
      <c r="H1" s="1" t="inlineStr">
        <is>
          <t>Action Type</t>
        </is>
      </c>
      <c r="I1" s="1" t="inlineStr">
        <is>
          <t>Status</t>
        </is>
      </c>
      <c r="J1" s="1" t="inlineStr">
        <is>
          <t>Required Workforce</t>
        </is>
      </c>
      <c r="K1" s="1" t="inlineStr">
        <is>
          <t>Currently Available</t>
        </is>
      </c>
      <c r="L1" s="1" t="inlineStr">
        <is>
          <t>Skill Gap</t>
        </is>
      </c>
      <c r="M1" s="1" t="inlineStr">
        <is>
          <t>Gap %</t>
        </is>
      </c>
      <c r="N1" s="1" t="inlineStr">
        <is>
          <t>Budget (INR Cr)</t>
        </is>
      </c>
      <c r="O1" s="1" t="inlineStr">
        <is>
          <t>Duration (Months)</t>
        </is>
      </c>
      <c r="P1" s="1" t="inlineStr">
        <is>
          <t>Start Year</t>
        </is>
      </c>
      <c r="Q1" s="1" t="inlineStr">
        <is>
          <t>Institutions Involved</t>
        </is>
      </c>
      <c r="R1" s="1" t="inlineStr">
        <is>
          <t>AI Confidence %</t>
        </is>
      </c>
      <c r="S1" s="1" t="inlineStr">
        <is>
          <t>Impact Score</t>
        </is>
      </c>
    </row>
    <row r="2">
      <c r="A2" t="n">
        <v>1</v>
      </c>
      <c r="B2" s="2" t="inlineStr">
        <is>
          <t>Medium</t>
        </is>
      </c>
      <c r="C2" t="inlineStr">
        <is>
          <t>Build Health talent corridor</t>
        </is>
      </c>
      <c r="D2" t="inlineStr">
        <is>
          <t>Health</t>
        </is>
      </c>
      <c r="E2" t="inlineStr">
        <is>
          <t>Health &amp; Family Welfare</t>
        </is>
      </c>
      <c r="F2" t="inlineStr">
        <is>
          <t>Meerut</t>
        </is>
      </c>
      <c r="G2" t="inlineStr">
        <is>
          <t>2025-2027</t>
        </is>
      </c>
      <c r="H2" t="inlineStr">
        <is>
          <t>Curriculum Reform</t>
        </is>
      </c>
      <c r="I2" t="inlineStr">
        <is>
          <t>Proposed</t>
        </is>
      </c>
      <c r="J2" t="n">
        <v>24770</v>
      </c>
      <c r="K2" t="n">
        <v>19051</v>
      </c>
      <c r="L2" t="n">
        <v>5719</v>
      </c>
      <c r="M2" t="n">
        <v>23.1</v>
      </c>
      <c r="N2" t="n">
        <v>43.56</v>
      </c>
      <c r="O2" t="n">
        <v>33</v>
      </c>
      <c r="P2" t="n">
        <v>2025</v>
      </c>
      <c r="Q2" t="n">
        <v>14</v>
      </c>
      <c r="R2" t="n">
        <v>57</v>
      </c>
      <c r="S2" t="n">
        <v>51</v>
      </c>
    </row>
    <row r="3">
      <c r="A3" t="n">
        <v>2</v>
      </c>
      <c r="B3" s="2" t="inlineStr">
        <is>
          <t>Medium</t>
        </is>
      </c>
      <c r="C3" t="inlineStr">
        <is>
          <t>Establish Defence skilling hub</t>
        </is>
      </c>
      <c r="D3" t="inlineStr">
        <is>
          <t>Defence</t>
        </is>
      </c>
      <c r="E3" t="inlineStr">
        <is>
          <t>UP Defence Corridor Authority</t>
        </is>
      </c>
      <c r="F3" t="inlineStr">
        <is>
          <t>Mathura</t>
        </is>
      </c>
      <c r="G3" t="inlineStr">
        <is>
          <t>2025-2027</t>
        </is>
      </c>
      <c r="H3" t="inlineStr">
        <is>
          <t>Fast-track Hiring</t>
        </is>
      </c>
      <c r="I3" t="inlineStr">
        <is>
          <t>Pending Funding</t>
        </is>
      </c>
      <c r="J3" t="n">
        <v>712</v>
      </c>
      <c r="K3" t="n">
        <v>476</v>
      </c>
      <c r="L3" t="n">
        <v>236</v>
      </c>
      <c r="M3" t="n">
        <v>33.1</v>
      </c>
      <c r="N3" t="n">
        <v>78.31999999999999</v>
      </c>
      <c r="O3" t="n">
        <v>33</v>
      </c>
      <c r="P3" t="n">
        <v>2025</v>
      </c>
      <c r="Q3" t="n">
        <v>14</v>
      </c>
      <c r="R3" t="n">
        <v>76</v>
      </c>
      <c r="S3" t="n">
        <v>67</v>
      </c>
    </row>
    <row r="4">
      <c r="A4" t="n">
        <v>3</v>
      </c>
      <c r="B4" s="3" t="inlineStr">
        <is>
          <t>Critical</t>
        </is>
      </c>
      <c r="C4" t="inlineStr">
        <is>
          <t>Establish Tourism &amp; Hospitality skilling hub</t>
        </is>
      </c>
      <c r="D4" t="inlineStr">
        <is>
          <t>Tourism &amp; Hospitality</t>
        </is>
      </c>
      <c r="E4" t="inlineStr">
        <is>
          <t>Tourism Dept</t>
        </is>
      </c>
      <c r="F4" t="inlineStr">
        <is>
          <t>Ghaziabad</t>
        </is>
      </c>
      <c r="G4" t="inlineStr">
        <is>
          <t>2026-2028</t>
        </is>
      </c>
      <c r="H4" t="inlineStr">
        <is>
          <t>PPP Partnership</t>
        </is>
      </c>
      <c r="I4" t="inlineStr">
        <is>
          <t>Pending Funding</t>
        </is>
      </c>
      <c r="J4" t="n">
        <v>1923</v>
      </c>
      <c r="K4" t="n">
        <v>1244</v>
      </c>
      <c r="L4" t="n">
        <v>679</v>
      </c>
      <c r="M4" t="n">
        <v>35.3</v>
      </c>
      <c r="N4" t="n">
        <v>258.32</v>
      </c>
      <c r="O4" t="n">
        <v>30</v>
      </c>
      <c r="P4" t="n">
        <v>2026</v>
      </c>
      <c r="Q4" t="n">
        <v>54</v>
      </c>
      <c r="R4" t="n">
        <v>60</v>
      </c>
      <c r="S4" t="n">
        <v>85</v>
      </c>
    </row>
    <row r="5">
      <c r="A5" t="n">
        <v>4</v>
      </c>
      <c r="B5" s="2" t="inlineStr">
        <is>
          <t>Medium</t>
        </is>
      </c>
      <c r="C5" t="inlineStr">
        <is>
          <t>Launch Textile &amp; Apparel Centre of Excellence</t>
        </is>
      </c>
      <c r="D5" t="inlineStr">
        <is>
          <t>Textile &amp; Apparel</t>
        </is>
      </c>
      <c r="E5" t="inlineStr">
        <is>
          <t>Handloom &amp; Textiles Dept</t>
        </is>
      </c>
      <c r="F5" t="inlineStr">
        <is>
          <t>Noida</t>
        </is>
      </c>
      <c r="G5" t="inlineStr">
        <is>
          <t>2025-2026</t>
        </is>
      </c>
      <c r="H5" t="inlineStr">
        <is>
          <t>Centre of Excellence</t>
        </is>
      </c>
      <c r="I5" t="inlineStr">
        <is>
          <t>Approved</t>
        </is>
      </c>
      <c r="J5" t="n">
        <v>8128</v>
      </c>
      <c r="K5" t="n">
        <v>6094</v>
      </c>
      <c r="L5" t="n">
        <v>2034</v>
      </c>
      <c r="M5" t="n">
        <v>25</v>
      </c>
      <c r="N5" t="n">
        <v>183.7</v>
      </c>
      <c r="O5" t="n">
        <v>35</v>
      </c>
      <c r="P5" t="n">
        <v>2025</v>
      </c>
      <c r="Q5" t="n">
        <v>24</v>
      </c>
      <c r="R5" t="n">
        <v>95</v>
      </c>
      <c r="S5" t="n">
        <v>73</v>
      </c>
    </row>
    <row r="6">
      <c r="A6" t="n">
        <v>5</v>
      </c>
      <c r="B6" s="2" t="inlineStr">
        <is>
          <t>Medium</t>
        </is>
      </c>
      <c r="C6" t="inlineStr">
        <is>
          <t>Reskilling drive for Public Works</t>
        </is>
      </c>
      <c r="D6" t="inlineStr">
        <is>
          <t>Public Works</t>
        </is>
      </c>
      <c r="E6" t="inlineStr">
        <is>
          <t>PWD</t>
        </is>
      </c>
      <c r="F6" t="inlineStr">
        <is>
          <t>Noida</t>
        </is>
      </c>
      <c r="G6" t="inlineStr">
        <is>
          <t>2027-2030</t>
        </is>
      </c>
      <c r="H6" t="inlineStr">
        <is>
          <t>Curriculum Reform</t>
        </is>
      </c>
      <c r="I6" t="inlineStr">
        <is>
          <t>Pending Funding</t>
        </is>
      </c>
      <c r="J6" t="n">
        <v>8521</v>
      </c>
      <c r="K6" t="n">
        <v>1896</v>
      </c>
      <c r="L6" t="n">
        <v>6625</v>
      </c>
      <c r="M6" t="n">
        <v>77.7</v>
      </c>
      <c r="N6" t="n">
        <v>183.38</v>
      </c>
      <c r="O6" t="n">
        <v>46</v>
      </c>
      <c r="P6" t="n">
        <v>2028</v>
      </c>
      <c r="Q6" t="n">
        <v>21</v>
      </c>
      <c r="R6" t="n">
        <v>90</v>
      </c>
      <c r="S6" t="n">
        <v>64</v>
      </c>
    </row>
    <row r="7">
      <c r="A7" t="n">
        <v>6</v>
      </c>
      <c r="B7" s="2" t="inlineStr">
        <is>
          <t>Medium</t>
        </is>
      </c>
      <c r="C7" t="inlineStr">
        <is>
          <t>ITI conversion to Civil Aviation curriculum</t>
        </is>
      </c>
      <c r="D7" t="inlineStr">
        <is>
          <t>Civil Aviation</t>
        </is>
      </c>
      <c r="E7" t="inlineStr">
        <is>
          <t>Civil Aviation Dept</t>
        </is>
      </c>
      <c r="F7" t="inlineStr">
        <is>
          <t>Aligarh</t>
        </is>
      </c>
      <c r="G7" t="inlineStr">
        <is>
          <t>2026-2030</t>
        </is>
      </c>
      <c r="H7" t="inlineStr">
        <is>
          <t>ITI Conversion</t>
        </is>
      </c>
      <c r="I7" t="inlineStr">
        <is>
          <t>Proposed</t>
        </is>
      </c>
      <c r="J7" t="n">
        <v>19085</v>
      </c>
      <c r="K7" t="n">
        <v>14452</v>
      </c>
      <c r="L7" t="n">
        <v>4633</v>
      </c>
      <c r="M7" t="n">
        <v>24.3</v>
      </c>
      <c r="N7" t="n">
        <v>152.42</v>
      </c>
      <c r="O7" t="n">
        <v>47</v>
      </c>
      <c r="P7" t="n">
        <v>2028</v>
      </c>
      <c r="Q7" t="n">
        <v>30</v>
      </c>
      <c r="R7" t="n">
        <v>86</v>
      </c>
      <c r="S7" t="n">
        <v>75</v>
      </c>
    </row>
    <row r="8">
      <c r="A8" t="n">
        <v>7</v>
      </c>
      <c r="B8" s="3" t="inlineStr">
        <is>
          <t>Critical</t>
        </is>
      </c>
      <c r="C8" t="inlineStr">
        <is>
          <t>Certification roll-out for Education</t>
        </is>
      </c>
      <c r="D8" t="inlineStr">
        <is>
          <t>Education</t>
        </is>
      </c>
      <c r="E8" t="inlineStr">
        <is>
          <t>Secondary Education</t>
        </is>
      </c>
      <c r="F8" t="inlineStr">
        <is>
          <t>Bareilly</t>
        </is>
      </c>
      <c r="G8" t="inlineStr">
        <is>
          <t>2028-2030</t>
        </is>
      </c>
      <c r="H8" t="inlineStr">
        <is>
          <t>Certification Program</t>
        </is>
      </c>
      <c r="I8" t="inlineStr">
        <is>
          <t>In Execution</t>
        </is>
      </c>
      <c r="J8" t="n">
        <v>13587</v>
      </c>
      <c r="K8" t="n">
        <v>5047</v>
      </c>
      <c r="L8" t="n">
        <v>8540</v>
      </c>
      <c r="M8" t="n">
        <v>62.9</v>
      </c>
      <c r="N8" t="n">
        <v>478.72</v>
      </c>
      <c r="O8" t="n">
        <v>14</v>
      </c>
      <c r="P8" t="n">
        <v>2025</v>
      </c>
      <c r="Q8" t="n">
        <v>49</v>
      </c>
      <c r="R8" t="n">
        <v>87</v>
      </c>
      <c r="S8" t="n">
        <v>81</v>
      </c>
    </row>
    <row r="9">
      <c r="A9" t="n">
        <v>8</v>
      </c>
      <c r="B9" s="4" t="inlineStr">
        <is>
          <t>High</t>
        </is>
      </c>
      <c r="C9" t="inlineStr">
        <is>
          <t>Launch Civil Aviation Centre of Excellence</t>
        </is>
      </c>
      <c r="D9" t="inlineStr">
        <is>
          <t>Civil Aviation</t>
        </is>
      </c>
      <c r="E9" t="inlineStr">
        <is>
          <t>Civil Aviation Dept</t>
        </is>
      </c>
      <c r="F9" t="inlineStr">
        <is>
          <t>Prayagraj</t>
        </is>
      </c>
      <c r="G9" t="inlineStr">
        <is>
          <t>2028-2030</t>
        </is>
      </c>
      <c r="H9" t="inlineStr">
        <is>
          <t>Apprenticeship</t>
        </is>
      </c>
      <c r="I9" t="inlineStr">
        <is>
          <t>Pending Funding</t>
        </is>
      </c>
      <c r="J9" t="n">
        <v>13108</v>
      </c>
      <c r="K9" t="n">
        <v>5062</v>
      </c>
      <c r="L9" t="n">
        <v>8046</v>
      </c>
      <c r="M9" t="n">
        <v>61.4</v>
      </c>
      <c r="N9" t="n">
        <v>478.15</v>
      </c>
      <c r="O9" t="n">
        <v>39</v>
      </c>
      <c r="P9" t="n">
        <v>2025</v>
      </c>
      <c r="Q9" t="n">
        <v>44</v>
      </c>
      <c r="R9" t="n">
        <v>71</v>
      </c>
      <c r="S9" t="n">
        <v>85</v>
      </c>
    </row>
    <row r="10">
      <c r="A10" t="n">
        <v>9</v>
      </c>
      <c r="B10" s="5" t="inlineStr">
        <is>
          <t>Low</t>
        </is>
      </c>
      <c r="C10" t="inlineStr">
        <is>
          <t>Establish Health skilling hub</t>
        </is>
      </c>
      <c r="D10" t="inlineStr">
        <is>
          <t>Health</t>
        </is>
      </c>
      <c r="E10" t="inlineStr">
        <is>
          <t>AYUSH</t>
        </is>
      </c>
      <c r="F10" t="inlineStr">
        <is>
          <t>Bareilly</t>
        </is>
      </c>
      <c r="G10" t="inlineStr">
        <is>
          <t>2028-2030</t>
        </is>
      </c>
      <c r="H10" t="inlineStr">
        <is>
          <t>PPP Partnership</t>
        </is>
      </c>
      <c r="I10" t="inlineStr">
        <is>
          <t>Proposed</t>
        </is>
      </c>
      <c r="J10" t="n">
        <v>14746</v>
      </c>
      <c r="K10" t="n">
        <v>3223</v>
      </c>
      <c r="L10" t="n">
        <v>11523</v>
      </c>
      <c r="M10" t="n">
        <v>78.09999999999999</v>
      </c>
      <c r="N10" t="n">
        <v>3.55</v>
      </c>
      <c r="O10" t="n">
        <v>22</v>
      </c>
      <c r="P10" t="n">
        <v>2025</v>
      </c>
      <c r="Q10" t="n">
        <v>33</v>
      </c>
      <c r="R10" t="n">
        <v>87</v>
      </c>
      <c r="S10" t="n">
        <v>98</v>
      </c>
    </row>
    <row r="11">
      <c r="A11" t="n">
        <v>10</v>
      </c>
      <c r="B11" s="4" t="inlineStr">
        <is>
          <t>High</t>
        </is>
      </c>
      <c r="C11" t="inlineStr">
        <is>
          <t>PPP for Health apprenticeships</t>
        </is>
      </c>
      <c r="D11" t="inlineStr">
        <is>
          <t>Health</t>
        </is>
      </c>
      <c r="E11" t="inlineStr">
        <is>
          <t>AYUSH</t>
        </is>
      </c>
      <c r="F11" t="inlineStr">
        <is>
          <t>Multi-district</t>
        </is>
      </c>
      <c r="G11" t="inlineStr">
        <is>
          <t>2027-2030</t>
        </is>
      </c>
      <c r="H11" t="inlineStr">
        <is>
          <t>Centre of Excellence</t>
        </is>
      </c>
      <c r="I11" t="inlineStr">
        <is>
          <t>Under Review</t>
        </is>
      </c>
      <c r="J11" t="n">
        <v>5793</v>
      </c>
      <c r="K11" t="n">
        <v>2922</v>
      </c>
      <c r="L11" t="n">
        <v>2871</v>
      </c>
      <c r="M11" t="n">
        <v>49.6</v>
      </c>
      <c r="N11" t="n">
        <v>374.18</v>
      </c>
      <c r="O11" t="n">
        <v>39</v>
      </c>
      <c r="P11" t="n">
        <v>2026</v>
      </c>
      <c r="Q11" t="n">
        <v>32</v>
      </c>
      <c r="R11" t="n">
        <v>55</v>
      </c>
      <c r="S11" t="n">
        <v>88</v>
      </c>
    </row>
    <row r="12">
      <c r="A12" t="n">
        <v>11</v>
      </c>
      <c r="B12" s="5" t="inlineStr">
        <is>
          <t>Low</t>
        </is>
      </c>
      <c r="C12" t="inlineStr">
        <is>
          <t>Certification roll-out for IT &amp; Electronics</t>
        </is>
      </c>
      <c r="D12" t="inlineStr">
        <is>
          <t>IT &amp; Electronics</t>
        </is>
      </c>
      <c r="E12" t="inlineStr">
        <is>
          <t>IT &amp; Electronics Dept</t>
        </is>
      </c>
      <c r="F12" t="inlineStr">
        <is>
          <t>Gorakhpur</t>
        </is>
      </c>
      <c r="G12" t="inlineStr">
        <is>
          <t>2025-2027</t>
        </is>
      </c>
      <c r="H12" t="inlineStr">
        <is>
          <t>Skilling</t>
        </is>
      </c>
      <c r="I12" t="inlineStr">
        <is>
          <t>Under Review</t>
        </is>
      </c>
      <c r="J12" t="n">
        <v>3080</v>
      </c>
      <c r="K12" t="n">
        <v>505</v>
      </c>
      <c r="L12" t="n">
        <v>2575</v>
      </c>
      <c r="M12" t="n">
        <v>83.59999999999999</v>
      </c>
      <c r="N12" t="n">
        <v>234.3</v>
      </c>
      <c r="O12" t="n">
        <v>10</v>
      </c>
      <c r="P12" t="n">
        <v>2025</v>
      </c>
      <c r="Q12" t="n">
        <v>9</v>
      </c>
      <c r="R12" t="n">
        <v>89</v>
      </c>
      <c r="S12" t="n">
        <v>99</v>
      </c>
    </row>
    <row r="13">
      <c r="A13" t="n">
        <v>12</v>
      </c>
      <c r="B13" s="4" t="inlineStr">
        <is>
          <t>High</t>
        </is>
      </c>
      <c r="C13" t="inlineStr">
        <is>
          <t>Reskilling drive for EV &amp; Mobility</t>
        </is>
      </c>
      <c r="D13" t="inlineStr">
        <is>
          <t>EV &amp; Mobility</t>
        </is>
      </c>
      <c r="E13" t="inlineStr">
        <is>
          <t>Transport Dept</t>
        </is>
      </c>
      <c r="F13" t="inlineStr">
        <is>
          <t>Mathura</t>
        </is>
      </c>
      <c r="G13" t="inlineStr">
        <is>
          <t>2025-2027</t>
        </is>
      </c>
      <c r="H13" t="inlineStr">
        <is>
          <t>University Tie-up</t>
        </is>
      </c>
      <c r="I13" t="inlineStr">
        <is>
          <t>Under Review</t>
        </is>
      </c>
      <c r="J13" t="n">
        <v>10714</v>
      </c>
      <c r="K13" t="n">
        <v>4277</v>
      </c>
      <c r="L13" t="n">
        <v>6437</v>
      </c>
      <c r="M13" t="n">
        <v>60.1</v>
      </c>
      <c r="N13" t="n">
        <v>323.07</v>
      </c>
      <c r="O13" t="n">
        <v>29</v>
      </c>
      <c r="P13" t="n">
        <v>2026</v>
      </c>
      <c r="Q13" t="n">
        <v>8</v>
      </c>
      <c r="R13" t="n">
        <v>83</v>
      </c>
      <c r="S13" t="n">
        <v>83</v>
      </c>
    </row>
    <row r="14">
      <c r="A14" t="n">
        <v>13</v>
      </c>
      <c r="B14" s="3" t="inlineStr">
        <is>
          <t>Critical</t>
        </is>
      </c>
      <c r="C14" t="inlineStr">
        <is>
          <t>Certification roll-out for Defence</t>
        </is>
      </c>
      <c r="D14" t="inlineStr">
        <is>
          <t>Defence</t>
        </is>
      </c>
      <c r="E14" t="inlineStr">
        <is>
          <t>UP Defence Corridor Authority</t>
        </is>
      </c>
      <c r="F14" t="inlineStr">
        <is>
          <t>Lucknow</t>
        </is>
      </c>
      <c r="G14" t="inlineStr">
        <is>
          <t>2027-2030</t>
        </is>
      </c>
      <c r="H14" t="inlineStr">
        <is>
          <t>University Tie-up</t>
        </is>
      </c>
      <c r="I14" t="inlineStr">
        <is>
          <t>Under Review</t>
        </is>
      </c>
      <c r="J14" t="n">
        <v>7716</v>
      </c>
      <c r="K14" t="n">
        <v>813</v>
      </c>
      <c r="L14" t="n">
        <v>6903</v>
      </c>
      <c r="M14" t="n">
        <v>89.5</v>
      </c>
      <c r="N14" t="n">
        <v>340.35</v>
      </c>
      <c r="O14" t="n">
        <v>9</v>
      </c>
      <c r="P14" t="n">
        <v>2025</v>
      </c>
      <c r="Q14" t="n">
        <v>56</v>
      </c>
      <c r="R14" t="n">
        <v>69</v>
      </c>
      <c r="S14" t="n">
        <v>54</v>
      </c>
    </row>
    <row r="15">
      <c r="A15" t="n">
        <v>14</v>
      </c>
      <c r="B15" s="2" t="inlineStr">
        <is>
          <t>Medium</t>
        </is>
      </c>
      <c r="C15" t="inlineStr">
        <is>
          <t>Industry-academia link for Tourism &amp; Hospitality</t>
        </is>
      </c>
      <c r="D15" t="inlineStr">
        <is>
          <t>Tourism &amp; Hospitality</t>
        </is>
      </c>
      <c r="E15" t="inlineStr">
        <is>
          <t>Tourism Dept</t>
        </is>
      </c>
      <c r="F15" t="inlineStr">
        <is>
          <t>Bareilly</t>
        </is>
      </c>
      <c r="G15" t="inlineStr">
        <is>
          <t>2028-2030</t>
        </is>
      </c>
      <c r="H15" t="inlineStr">
        <is>
          <t>Fast-track Hiring</t>
        </is>
      </c>
      <c r="I15" t="inlineStr">
        <is>
          <t>Under Review</t>
        </is>
      </c>
      <c r="J15" t="n">
        <v>4835</v>
      </c>
      <c r="K15" t="n">
        <v>3106</v>
      </c>
      <c r="L15" t="n">
        <v>1729</v>
      </c>
      <c r="M15" t="n">
        <v>35.8</v>
      </c>
      <c r="N15" t="n">
        <v>423.78</v>
      </c>
      <c r="O15" t="n">
        <v>42</v>
      </c>
      <c r="P15" t="n">
        <v>2026</v>
      </c>
      <c r="Q15" t="n">
        <v>52</v>
      </c>
      <c r="R15" t="n">
        <v>85</v>
      </c>
      <c r="S15" t="n">
        <v>65</v>
      </c>
    </row>
    <row r="16">
      <c r="A16" t="n">
        <v>15</v>
      </c>
      <c r="B16" s="3" t="inlineStr">
        <is>
          <t>Critical</t>
        </is>
      </c>
      <c r="C16" t="inlineStr">
        <is>
          <t>Expand Revenue training capacity</t>
        </is>
      </c>
      <c r="D16" t="inlineStr">
        <is>
          <t>Revenue</t>
        </is>
      </c>
      <c r="E16" t="inlineStr">
        <is>
          <t>Revenue Dept</t>
        </is>
      </c>
      <c r="F16" t="inlineStr">
        <is>
          <t>Mathura</t>
        </is>
      </c>
      <c r="G16" t="inlineStr">
        <is>
          <t>2026-2028</t>
        </is>
      </c>
      <c r="H16" t="inlineStr">
        <is>
          <t>Apprenticeship</t>
        </is>
      </c>
      <c r="I16" t="inlineStr">
        <is>
          <t>In Execution</t>
        </is>
      </c>
      <c r="J16" t="n">
        <v>24390</v>
      </c>
      <c r="K16" t="n">
        <v>3429</v>
      </c>
      <c r="L16" t="n">
        <v>20961</v>
      </c>
      <c r="M16" t="n">
        <v>85.90000000000001</v>
      </c>
      <c r="N16" t="n">
        <v>314.35</v>
      </c>
      <c r="O16" t="n">
        <v>47</v>
      </c>
      <c r="P16" t="n">
        <v>2026</v>
      </c>
      <c r="Q16" t="n">
        <v>47</v>
      </c>
      <c r="R16" t="n">
        <v>61</v>
      </c>
      <c r="S16" t="n">
        <v>53</v>
      </c>
    </row>
    <row r="17">
      <c r="A17" t="n">
        <v>16</v>
      </c>
      <c r="B17" s="4" t="inlineStr">
        <is>
          <t>High</t>
        </is>
      </c>
      <c r="C17" t="inlineStr">
        <is>
          <t>Tourism &amp; Hospitality cadre restructuring</t>
        </is>
      </c>
      <c r="D17" t="inlineStr">
        <is>
          <t>Tourism &amp; Hospitality</t>
        </is>
      </c>
      <c r="E17" t="inlineStr">
        <is>
          <t>Tourism Dept</t>
        </is>
      </c>
      <c r="F17" t="inlineStr">
        <is>
          <t>Agra</t>
        </is>
      </c>
      <c r="G17" t="inlineStr">
        <is>
          <t>2027-2030</t>
        </is>
      </c>
      <c r="H17" t="inlineStr">
        <is>
          <t>Fast-track Hiring</t>
        </is>
      </c>
      <c r="I17" t="inlineStr">
        <is>
          <t>Under Review</t>
        </is>
      </c>
      <c r="J17" t="n">
        <v>6512</v>
      </c>
      <c r="K17" t="n">
        <v>2011</v>
      </c>
      <c r="L17" t="n">
        <v>4501</v>
      </c>
      <c r="M17" t="n">
        <v>69.09999999999999</v>
      </c>
      <c r="N17" t="n">
        <v>121.41</v>
      </c>
      <c r="O17" t="n">
        <v>10</v>
      </c>
      <c r="P17" t="n">
        <v>2025</v>
      </c>
      <c r="Q17" t="n">
        <v>4</v>
      </c>
      <c r="R17" t="n">
        <v>83</v>
      </c>
      <c r="S17" t="n">
        <v>85</v>
      </c>
    </row>
    <row r="18">
      <c r="A18" t="n">
        <v>17</v>
      </c>
      <c r="B18" s="5" t="inlineStr">
        <is>
          <t>Low</t>
        </is>
      </c>
      <c r="C18" t="inlineStr">
        <is>
          <t>Expand Pharma &amp; Biotech training capacity</t>
        </is>
      </c>
      <c r="D18" t="inlineStr">
        <is>
          <t>Pharma &amp; Biotech</t>
        </is>
      </c>
      <c r="E18" t="inlineStr">
        <is>
          <t>Drugs Control</t>
        </is>
      </c>
      <c r="F18" t="inlineStr">
        <is>
          <t>Meerut</t>
        </is>
      </c>
      <c r="G18" t="inlineStr">
        <is>
          <t>2025-2027</t>
        </is>
      </c>
      <c r="H18" t="inlineStr">
        <is>
          <t>Apprenticeship</t>
        </is>
      </c>
      <c r="I18" t="inlineStr">
        <is>
          <t>In Execution</t>
        </is>
      </c>
      <c r="J18" t="n">
        <v>7504</v>
      </c>
      <c r="K18" t="n">
        <v>5616</v>
      </c>
      <c r="L18" t="n">
        <v>1888</v>
      </c>
      <c r="M18" t="n">
        <v>25.2</v>
      </c>
      <c r="N18" t="n">
        <v>433.37</v>
      </c>
      <c r="O18" t="n">
        <v>16</v>
      </c>
      <c r="P18" t="n">
        <v>2026</v>
      </c>
      <c r="Q18" t="n">
        <v>17</v>
      </c>
      <c r="R18" t="n">
        <v>79</v>
      </c>
      <c r="S18" t="n">
        <v>50</v>
      </c>
    </row>
    <row r="19">
      <c r="A19" t="n">
        <v>18</v>
      </c>
      <c r="B19" s="4" t="inlineStr">
        <is>
          <t>High</t>
        </is>
      </c>
      <c r="C19" t="inlineStr">
        <is>
          <t>ITI conversion to Skill Development curriculum</t>
        </is>
      </c>
      <c r="D19" t="inlineStr">
        <is>
          <t>Skill Development</t>
        </is>
      </c>
      <c r="E19" t="inlineStr">
        <is>
          <t>ITI Directorate</t>
        </is>
      </c>
      <c r="F19" t="inlineStr">
        <is>
          <t>Saharanpur</t>
        </is>
      </c>
      <c r="G19" t="inlineStr">
        <is>
          <t>2025-2027</t>
        </is>
      </c>
      <c r="H19" t="inlineStr">
        <is>
          <t>Centre of Excellence</t>
        </is>
      </c>
      <c r="I19" t="inlineStr">
        <is>
          <t>Approved</t>
        </is>
      </c>
      <c r="J19" t="n">
        <v>2416</v>
      </c>
      <c r="K19" t="n">
        <v>1291</v>
      </c>
      <c r="L19" t="n">
        <v>1125</v>
      </c>
      <c r="M19" t="n">
        <v>46.6</v>
      </c>
      <c r="N19" t="n">
        <v>261.17</v>
      </c>
      <c r="O19" t="n">
        <v>26</v>
      </c>
      <c r="P19" t="n">
        <v>2027</v>
      </c>
      <c r="Q19" t="n">
        <v>31</v>
      </c>
      <c r="R19" t="n">
        <v>58</v>
      </c>
      <c r="S19" t="n">
        <v>53</v>
      </c>
    </row>
    <row r="20">
      <c r="A20" t="n">
        <v>19</v>
      </c>
      <c r="B20" s="3" t="inlineStr">
        <is>
          <t>Critical</t>
        </is>
      </c>
      <c r="C20" t="inlineStr">
        <is>
          <t>Certification roll-out for AI &amp; Data Centres</t>
        </is>
      </c>
      <c r="D20" t="inlineStr">
        <is>
          <t>AI &amp; Data Centres</t>
        </is>
      </c>
      <c r="E20" t="inlineStr">
        <is>
          <t>IT &amp; Electronics Dept</t>
        </is>
      </c>
      <c r="F20" t="inlineStr">
        <is>
          <t>Multi-district</t>
        </is>
      </c>
      <c r="G20" t="inlineStr">
        <is>
          <t>2025-2026</t>
        </is>
      </c>
      <c r="H20" t="inlineStr">
        <is>
          <t>Curriculum Reform</t>
        </is>
      </c>
      <c r="I20" t="inlineStr">
        <is>
          <t>Proposed</t>
        </is>
      </c>
      <c r="J20" t="n">
        <v>2726</v>
      </c>
      <c r="K20" t="n">
        <v>1653</v>
      </c>
      <c r="L20" t="n">
        <v>1073</v>
      </c>
      <c r="M20" t="n">
        <v>39.4</v>
      </c>
      <c r="N20" t="n">
        <v>114.43</v>
      </c>
      <c r="O20" t="n">
        <v>13</v>
      </c>
      <c r="P20" t="n">
        <v>2027</v>
      </c>
      <c r="Q20" t="n">
        <v>39</v>
      </c>
      <c r="R20" t="n">
        <v>91</v>
      </c>
      <c r="S20" t="n">
        <v>65</v>
      </c>
    </row>
    <row r="21">
      <c r="A21" t="n">
        <v>20</v>
      </c>
      <c r="B21" s="4" t="inlineStr">
        <is>
          <t>High</t>
        </is>
      </c>
      <c r="C21" t="inlineStr">
        <is>
          <t>Build Civil Aviation talent corridor</t>
        </is>
      </c>
      <c r="D21" t="inlineStr">
        <is>
          <t>Civil Aviation</t>
        </is>
      </c>
      <c r="E21" t="inlineStr">
        <is>
          <t>Civil Aviation Dept</t>
        </is>
      </c>
      <c r="F21" t="inlineStr">
        <is>
          <t>Multi-district</t>
        </is>
      </c>
      <c r="G21" t="inlineStr">
        <is>
          <t>2026-2028</t>
        </is>
      </c>
      <c r="H21" t="inlineStr">
        <is>
          <t>ITI Conversion</t>
        </is>
      </c>
      <c r="I21" t="inlineStr">
        <is>
          <t>Under Review</t>
        </is>
      </c>
      <c r="J21" t="n">
        <v>23968</v>
      </c>
      <c r="K21" t="n">
        <v>8044</v>
      </c>
      <c r="L21" t="n">
        <v>15924</v>
      </c>
      <c r="M21" t="n">
        <v>66.40000000000001</v>
      </c>
      <c r="N21" t="n">
        <v>128.96</v>
      </c>
      <c r="O21" t="n">
        <v>14</v>
      </c>
      <c r="P21" t="n">
        <v>2026</v>
      </c>
      <c r="Q21" t="n">
        <v>30</v>
      </c>
      <c r="R21" t="n">
        <v>97</v>
      </c>
      <c r="S21" t="n">
        <v>91</v>
      </c>
    </row>
    <row r="22">
      <c r="A22" t="n">
        <v>21</v>
      </c>
      <c r="B22" s="3" t="inlineStr">
        <is>
          <t>Critical</t>
        </is>
      </c>
      <c r="C22" t="inlineStr">
        <is>
          <t>Industry-academia link for Tourism &amp; Hospitality</t>
        </is>
      </c>
      <c r="D22" t="inlineStr">
        <is>
          <t>Tourism &amp; Hospitality</t>
        </is>
      </c>
      <c r="E22" t="inlineStr">
        <is>
          <t>Tourism Dept</t>
        </is>
      </c>
      <c r="F22" t="inlineStr">
        <is>
          <t>Ghaziabad</t>
        </is>
      </c>
      <c r="G22" t="inlineStr">
        <is>
          <t>2025-2026</t>
        </is>
      </c>
      <c r="H22" t="inlineStr">
        <is>
          <t>University Tie-up</t>
        </is>
      </c>
      <c r="I22" t="inlineStr">
        <is>
          <t>Under Review</t>
        </is>
      </c>
      <c r="J22" t="n">
        <v>9190</v>
      </c>
      <c r="K22" t="n">
        <v>1831</v>
      </c>
      <c r="L22" t="n">
        <v>7359</v>
      </c>
      <c r="M22" t="n">
        <v>80.09999999999999</v>
      </c>
      <c r="N22" t="n">
        <v>168.83</v>
      </c>
      <c r="O22" t="n">
        <v>10</v>
      </c>
      <c r="P22" t="n">
        <v>2026</v>
      </c>
      <c r="Q22" t="n">
        <v>11</v>
      </c>
      <c r="R22" t="n">
        <v>70</v>
      </c>
      <c r="S22" t="n">
        <v>73</v>
      </c>
    </row>
    <row r="23">
      <c r="A23" t="n">
        <v>22</v>
      </c>
      <c r="B23" s="2" t="inlineStr">
        <is>
          <t>Medium</t>
        </is>
      </c>
      <c r="C23" t="inlineStr">
        <is>
          <t>Build Skill Development talent corridor</t>
        </is>
      </c>
      <c r="D23" t="inlineStr">
        <is>
          <t>Skill Development</t>
        </is>
      </c>
      <c r="E23" t="inlineStr">
        <is>
          <t>ITI Directorate</t>
        </is>
      </c>
      <c r="F23" t="inlineStr">
        <is>
          <t>Multi-district</t>
        </is>
      </c>
      <c r="G23" t="inlineStr">
        <is>
          <t>2025-2026</t>
        </is>
      </c>
      <c r="H23" t="inlineStr">
        <is>
          <t>University Tie-up</t>
        </is>
      </c>
      <c r="I23" t="inlineStr">
        <is>
          <t>Approved</t>
        </is>
      </c>
      <c r="J23" t="n">
        <v>3894</v>
      </c>
      <c r="K23" t="n">
        <v>3131</v>
      </c>
      <c r="L23" t="n">
        <v>763</v>
      </c>
      <c r="M23" t="n">
        <v>19.6</v>
      </c>
      <c r="N23" t="n">
        <v>66.19</v>
      </c>
      <c r="O23" t="n">
        <v>13</v>
      </c>
      <c r="P23" t="n">
        <v>2027</v>
      </c>
      <c r="Q23" t="n">
        <v>10</v>
      </c>
      <c r="R23" t="n">
        <v>61</v>
      </c>
      <c r="S23" t="n">
        <v>97</v>
      </c>
    </row>
    <row r="24">
      <c r="A24" t="n">
        <v>23</v>
      </c>
      <c r="B24" s="2" t="inlineStr">
        <is>
          <t>Medium</t>
        </is>
      </c>
      <c r="C24" t="inlineStr">
        <is>
          <t>Expand Urban Development training capacity</t>
        </is>
      </c>
      <c r="D24" t="inlineStr">
        <is>
          <t>Urban Development</t>
        </is>
      </c>
      <c r="E24" t="inlineStr">
        <is>
          <t>Housing Board</t>
        </is>
      </c>
      <c r="F24" t="inlineStr">
        <is>
          <t>Aligarh</t>
        </is>
      </c>
      <c r="G24" t="inlineStr">
        <is>
          <t>2025-2027</t>
        </is>
      </c>
      <c r="H24" t="inlineStr">
        <is>
          <t>ITI Conversion</t>
        </is>
      </c>
      <c r="I24" t="inlineStr">
        <is>
          <t>Pending Funding</t>
        </is>
      </c>
      <c r="J24" t="n">
        <v>8728</v>
      </c>
      <c r="K24" t="n">
        <v>6799</v>
      </c>
      <c r="L24" t="n">
        <v>1929</v>
      </c>
      <c r="M24" t="n">
        <v>22.1</v>
      </c>
      <c r="N24" t="n">
        <v>406.44</v>
      </c>
      <c r="O24" t="n">
        <v>11</v>
      </c>
      <c r="P24" t="n">
        <v>2026</v>
      </c>
      <c r="Q24" t="n">
        <v>3</v>
      </c>
      <c r="R24" t="n">
        <v>95</v>
      </c>
      <c r="S24" t="n">
        <v>77</v>
      </c>
    </row>
    <row r="25">
      <c r="A25" t="n">
        <v>24</v>
      </c>
      <c r="B25" s="2" t="inlineStr">
        <is>
          <t>Medium</t>
        </is>
      </c>
      <c r="C25" t="inlineStr">
        <is>
          <t>Reskilling drive for IT &amp; Electronics</t>
        </is>
      </c>
      <c r="D25" t="inlineStr">
        <is>
          <t>IT &amp; Electronics</t>
        </is>
      </c>
      <c r="E25" t="inlineStr">
        <is>
          <t>UPDESCO</t>
        </is>
      </c>
      <c r="F25" t="inlineStr">
        <is>
          <t>Bareilly</t>
        </is>
      </c>
      <c r="G25" t="inlineStr">
        <is>
          <t>2025-2027</t>
        </is>
      </c>
      <c r="H25" t="inlineStr">
        <is>
          <t>Fast-track Hiring</t>
        </is>
      </c>
      <c r="I25" t="inlineStr">
        <is>
          <t>Pending Funding</t>
        </is>
      </c>
      <c r="J25" t="n">
        <v>14514</v>
      </c>
      <c r="K25" t="n">
        <v>7557</v>
      </c>
      <c r="L25" t="n">
        <v>6957</v>
      </c>
      <c r="M25" t="n">
        <v>47.9</v>
      </c>
      <c r="N25" t="n">
        <v>55.48</v>
      </c>
      <c r="O25" t="n">
        <v>15</v>
      </c>
      <c r="P25" t="n">
        <v>2026</v>
      </c>
      <c r="Q25" t="n">
        <v>38</v>
      </c>
      <c r="R25" t="n">
        <v>89</v>
      </c>
      <c r="S25" t="n">
        <v>52</v>
      </c>
    </row>
    <row r="26">
      <c r="A26" t="n">
        <v>25</v>
      </c>
      <c r="B26" s="4" t="inlineStr">
        <is>
          <t>High</t>
        </is>
      </c>
      <c r="C26" t="inlineStr">
        <is>
          <t>PPP for Pharma &amp; Biotech apprenticeships</t>
        </is>
      </c>
      <c r="D26" t="inlineStr">
        <is>
          <t>Pharma &amp; Biotech</t>
        </is>
      </c>
      <c r="E26" t="inlineStr">
        <is>
          <t>Drugs Control</t>
        </is>
      </c>
      <c r="F26" t="inlineStr">
        <is>
          <t>Kanpur</t>
        </is>
      </c>
      <c r="G26" t="inlineStr">
        <is>
          <t>2026-2028</t>
        </is>
      </c>
      <c r="H26" t="inlineStr">
        <is>
          <t>PPP Partnership</t>
        </is>
      </c>
      <c r="I26" t="inlineStr">
        <is>
          <t>Proposed</t>
        </is>
      </c>
      <c r="J26" t="n">
        <v>7383</v>
      </c>
      <c r="K26" t="n">
        <v>4515</v>
      </c>
      <c r="L26" t="n">
        <v>2868</v>
      </c>
      <c r="M26" t="n">
        <v>38.8</v>
      </c>
      <c r="N26" t="n">
        <v>320.79</v>
      </c>
      <c r="O26" t="n">
        <v>28</v>
      </c>
      <c r="P26" t="n">
        <v>2027</v>
      </c>
      <c r="Q26" t="n">
        <v>48</v>
      </c>
      <c r="R26" t="n">
        <v>90</v>
      </c>
      <c r="S26" t="n">
        <v>76</v>
      </c>
    </row>
    <row r="27">
      <c r="A27" t="n">
        <v>26</v>
      </c>
      <c r="B27" s="5" t="inlineStr">
        <is>
          <t>Low</t>
        </is>
      </c>
      <c r="C27" t="inlineStr">
        <is>
          <t>Reskilling drive for Education</t>
        </is>
      </c>
      <c r="D27" t="inlineStr">
        <is>
          <t>Education</t>
        </is>
      </c>
      <c r="E27" t="inlineStr">
        <is>
          <t>Basic Education</t>
        </is>
      </c>
      <c r="F27" t="inlineStr">
        <is>
          <t>Prayagraj</t>
        </is>
      </c>
      <c r="G27" t="inlineStr">
        <is>
          <t>2026-2030</t>
        </is>
      </c>
      <c r="H27" t="inlineStr">
        <is>
          <t>Skilling</t>
        </is>
      </c>
      <c r="I27" t="inlineStr">
        <is>
          <t>Under Review</t>
        </is>
      </c>
      <c r="J27" t="n">
        <v>11385</v>
      </c>
      <c r="K27" t="n">
        <v>7819</v>
      </c>
      <c r="L27" t="n">
        <v>3566</v>
      </c>
      <c r="M27" t="n">
        <v>31.3</v>
      </c>
      <c r="N27" t="n">
        <v>198.8</v>
      </c>
      <c r="O27" t="n">
        <v>48</v>
      </c>
      <c r="P27" t="n">
        <v>2025</v>
      </c>
      <c r="Q27" t="n">
        <v>51</v>
      </c>
      <c r="R27" t="n">
        <v>70</v>
      </c>
      <c r="S27" t="n">
        <v>67</v>
      </c>
    </row>
    <row r="28">
      <c r="A28" t="n">
        <v>27</v>
      </c>
      <c r="B28" s="5" t="inlineStr">
        <is>
          <t>Low</t>
        </is>
      </c>
      <c r="C28" t="inlineStr">
        <is>
          <t>PPP for Health apprenticeships</t>
        </is>
      </c>
      <c r="D28" t="inlineStr">
        <is>
          <t>Health</t>
        </is>
      </c>
      <c r="E28" t="inlineStr">
        <is>
          <t>Medical Education</t>
        </is>
      </c>
      <c r="F28" t="inlineStr">
        <is>
          <t>Saharanpur</t>
        </is>
      </c>
      <c r="G28" t="inlineStr">
        <is>
          <t>2025-2027</t>
        </is>
      </c>
      <c r="H28" t="inlineStr">
        <is>
          <t>Centre of Excellence</t>
        </is>
      </c>
      <c r="I28" t="inlineStr">
        <is>
          <t>In Execution</t>
        </is>
      </c>
      <c r="J28" t="n">
        <v>10500</v>
      </c>
      <c r="K28" t="n">
        <v>7511</v>
      </c>
      <c r="L28" t="n">
        <v>2989</v>
      </c>
      <c r="M28" t="n">
        <v>28.5</v>
      </c>
      <c r="N28" t="n">
        <v>418.49</v>
      </c>
      <c r="O28" t="n">
        <v>20</v>
      </c>
      <c r="P28" t="n">
        <v>2025</v>
      </c>
      <c r="Q28" t="n">
        <v>26</v>
      </c>
      <c r="R28" t="n">
        <v>56</v>
      </c>
      <c r="S28" t="n">
        <v>92</v>
      </c>
    </row>
    <row r="29">
      <c r="A29" t="n">
        <v>28</v>
      </c>
      <c r="B29" s="5" t="inlineStr">
        <is>
          <t>Low</t>
        </is>
      </c>
      <c r="C29" t="inlineStr">
        <is>
          <t>Build Tourism &amp; Hospitality talent corridor</t>
        </is>
      </c>
      <c r="D29" t="inlineStr">
        <is>
          <t>Tourism &amp; Hospitality</t>
        </is>
      </c>
      <c r="E29" t="inlineStr">
        <is>
          <t>UP Tourism Corp</t>
        </is>
      </c>
      <c r="F29" t="inlineStr">
        <is>
          <t>Bareilly</t>
        </is>
      </c>
      <c r="G29" t="inlineStr">
        <is>
          <t>2026-2028</t>
        </is>
      </c>
      <c r="H29" t="inlineStr">
        <is>
          <t>University Tie-up</t>
        </is>
      </c>
      <c r="I29" t="inlineStr">
        <is>
          <t>In Execution</t>
        </is>
      </c>
      <c r="J29" t="n">
        <v>18070</v>
      </c>
      <c r="K29" t="n">
        <v>6294</v>
      </c>
      <c r="L29" t="n">
        <v>11776</v>
      </c>
      <c r="M29" t="n">
        <v>65.2</v>
      </c>
      <c r="N29" t="n">
        <v>15.19</v>
      </c>
      <c r="O29" t="n">
        <v>22</v>
      </c>
      <c r="P29" t="n">
        <v>2026</v>
      </c>
      <c r="Q29" t="n">
        <v>3</v>
      </c>
      <c r="R29" t="n">
        <v>66</v>
      </c>
      <c r="S29" t="n">
        <v>87</v>
      </c>
    </row>
    <row r="30">
      <c r="A30" t="n">
        <v>29</v>
      </c>
      <c r="B30" s="4" t="inlineStr">
        <is>
          <t>High</t>
        </is>
      </c>
      <c r="C30" t="inlineStr">
        <is>
          <t>Launch Health Centre of Excellence</t>
        </is>
      </c>
      <c r="D30" t="inlineStr">
        <is>
          <t>Health</t>
        </is>
      </c>
      <c r="E30" t="inlineStr">
        <is>
          <t>AYUSH</t>
        </is>
      </c>
      <c r="F30" t="inlineStr">
        <is>
          <t>Aligarh</t>
        </is>
      </c>
      <c r="G30" t="inlineStr">
        <is>
          <t>2026-2030</t>
        </is>
      </c>
      <c r="H30" t="inlineStr">
        <is>
          <t>Certification Program</t>
        </is>
      </c>
      <c r="I30" t="inlineStr">
        <is>
          <t>Pending Funding</t>
        </is>
      </c>
      <c r="J30" t="n">
        <v>13122</v>
      </c>
      <c r="K30" t="n">
        <v>10164</v>
      </c>
      <c r="L30" t="n">
        <v>2958</v>
      </c>
      <c r="M30" t="n">
        <v>22.5</v>
      </c>
      <c r="N30" t="n">
        <v>92.86</v>
      </c>
      <c r="O30" t="n">
        <v>8</v>
      </c>
      <c r="P30" t="n">
        <v>2027</v>
      </c>
      <c r="Q30" t="n">
        <v>60</v>
      </c>
      <c r="R30" t="n">
        <v>82</v>
      </c>
      <c r="S30" t="n">
        <v>50</v>
      </c>
    </row>
    <row r="31">
      <c r="A31" t="n">
        <v>30</v>
      </c>
      <c r="B31" s="4" t="inlineStr">
        <is>
          <t>High</t>
        </is>
      </c>
      <c r="C31" t="inlineStr">
        <is>
          <t>PPP for Pharma &amp; Biotech apprenticeships</t>
        </is>
      </c>
      <c r="D31" t="inlineStr">
        <is>
          <t>Pharma &amp; Biotech</t>
        </is>
      </c>
      <c r="E31" t="inlineStr">
        <is>
          <t>Drugs Control</t>
        </is>
      </c>
      <c r="F31" t="inlineStr">
        <is>
          <t>Noida</t>
        </is>
      </c>
      <c r="G31" t="inlineStr">
        <is>
          <t>2028-2030</t>
        </is>
      </c>
      <c r="H31" t="inlineStr">
        <is>
          <t>PPP Partnership</t>
        </is>
      </c>
      <c r="I31" t="inlineStr">
        <is>
          <t>Pending Funding</t>
        </is>
      </c>
      <c r="J31" t="n">
        <v>22237</v>
      </c>
      <c r="K31" t="n">
        <v>16366</v>
      </c>
      <c r="L31" t="n">
        <v>5871</v>
      </c>
      <c r="M31" t="n">
        <v>26.4</v>
      </c>
      <c r="N31" t="n">
        <v>346.04</v>
      </c>
      <c r="O31" t="n">
        <v>25</v>
      </c>
      <c r="P31" t="n">
        <v>2028</v>
      </c>
      <c r="Q31" t="n">
        <v>27</v>
      </c>
      <c r="R31" t="n">
        <v>87</v>
      </c>
      <c r="S31" t="n">
        <v>69</v>
      </c>
    </row>
    <row r="32">
      <c r="A32" t="n">
        <v>31</v>
      </c>
      <c r="B32" s="2" t="inlineStr">
        <is>
          <t>Medium</t>
        </is>
      </c>
      <c r="C32" t="inlineStr">
        <is>
          <t>Build Tourism &amp; Hospitality talent corridor</t>
        </is>
      </c>
      <c r="D32" t="inlineStr">
        <is>
          <t>Tourism &amp; Hospitality</t>
        </is>
      </c>
      <c r="E32" t="inlineStr">
        <is>
          <t>UP Tourism Corp</t>
        </is>
      </c>
      <c r="F32" t="inlineStr">
        <is>
          <t>Varanasi</t>
        </is>
      </c>
      <c r="G32" t="inlineStr">
        <is>
          <t>2025-2027</t>
        </is>
      </c>
      <c r="H32" t="inlineStr">
        <is>
          <t>Apprenticeship</t>
        </is>
      </c>
      <c r="I32" t="inlineStr">
        <is>
          <t>In Execution</t>
        </is>
      </c>
      <c r="J32" t="n">
        <v>6202</v>
      </c>
      <c r="K32" t="n">
        <v>3483</v>
      </c>
      <c r="L32" t="n">
        <v>2719</v>
      </c>
      <c r="M32" t="n">
        <v>43.8</v>
      </c>
      <c r="N32" t="n">
        <v>145.85</v>
      </c>
      <c r="O32" t="n">
        <v>41</v>
      </c>
      <c r="P32" t="n">
        <v>2026</v>
      </c>
      <c r="Q32" t="n">
        <v>14</v>
      </c>
      <c r="R32" t="n">
        <v>55</v>
      </c>
      <c r="S32" t="n">
        <v>69</v>
      </c>
    </row>
    <row r="33">
      <c r="A33" t="n">
        <v>32</v>
      </c>
      <c r="B33" s="4" t="inlineStr">
        <is>
          <t>High</t>
        </is>
      </c>
      <c r="C33" t="inlineStr">
        <is>
          <t>Expand Revenue training capacity</t>
        </is>
      </c>
      <c r="D33" t="inlineStr">
        <is>
          <t>Revenue</t>
        </is>
      </c>
      <c r="E33" t="inlineStr">
        <is>
          <t>Board of Revenue</t>
        </is>
      </c>
      <c r="F33" t="inlineStr">
        <is>
          <t>Moradabad</t>
        </is>
      </c>
      <c r="G33" t="inlineStr">
        <is>
          <t>2028-2030</t>
        </is>
      </c>
      <c r="H33" t="inlineStr">
        <is>
          <t>Centre of Excellence</t>
        </is>
      </c>
      <c r="I33" t="inlineStr">
        <is>
          <t>Pending Funding</t>
        </is>
      </c>
      <c r="J33" t="n">
        <v>24615</v>
      </c>
      <c r="K33" t="n">
        <v>5594</v>
      </c>
      <c r="L33" t="n">
        <v>19021</v>
      </c>
      <c r="M33" t="n">
        <v>77.3</v>
      </c>
      <c r="N33" t="n">
        <v>42.53</v>
      </c>
      <c r="O33" t="n">
        <v>38</v>
      </c>
      <c r="P33" t="n">
        <v>2027</v>
      </c>
      <c r="Q33" t="n">
        <v>22</v>
      </c>
      <c r="R33" t="n">
        <v>97</v>
      </c>
      <c r="S33" t="n">
        <v>90</v>
      </c>
    </row>
    <row r="34">
      <c r="A34" t="n">
        <v>33</v>
      </c>
      <c r="B34" s="2" t="inlineStr">
        <is>
          <t>Medium</t>
        </is>
      </c>
      <c r="C34" t="inlineStr">
        <is>
          <t>Scale Manufacturing workforce pipeline</t>
        </is>
      </c>
      <c r="D34" t="inlineStr">
        <is>
          <t>Manufacturing</t>
        </is>
      </c>
      <c r="E34" t="inlineStr">
        <is>
          <t>Industries Dept</t>
        </is>
      </c>
      <c r="F34" t="inlineStr">
        <is>
          <t>Meerut</t>
        </is>
      </c>
      <c r="G34" t="inlineStr">
        <is>
          <t>2025-2027</t>
        </is>
      </c>
      <c r="H34" t="inlineStr">
        <is>
          <t>Curriculum Reform</t>
        </is>
      </c>
      <c r="I34" t="inlineStr">
        <is>
          <t>Proposed</t>
        </is>
      </c>
      <c r="J34" t="n">
        <v>8523</v>
      </c>
      <c r="K34" t="n">
        <v>7141</v>
      </c>
      <c r="L34" t="n">
        <v>1382</v>
      </c>
      <c r="M34" t="n">
        <v>16.2</v>
      </c>
      <c r="N34" t="n">
        <v>294.19</v>
      </c>
      <c r="O34" t="n">
        <v>10</v>
      </c>
      <c r="P34" t="n">
        <v>2028</v>
      </c>
      <c r="Q34" t="n">
        <v>37</v>
      </c>
      <c r="R34" t="n">
        <v>84</v>
      </c>
      <c r="S34" t="n">
        <v>76</v>
      </c>
    </row>
    <row r="35">
      <c r="A35" t="n">
        <v>34</v>
      </c>
      <c r="B35" s="2" t="inlineStr">
        <is>
          <t>Medium</t>
        </is>
      </c>
      <c r="C35" t="inlineStr">
        <is>
          <t>Build Power &amp; Energy talent corridor</t>
        </is>
      </c>
      <c r="D35" t="inlineStr">
        <is>
          <t>Power &amp; Energy</t>
        </is>
      </c>
      <c r="E35" t="inlineStr">
        <is>
          <t>UPNEDA</t>
        </is>
      </c>
      <c r="F35" t="inlineStr">
        <is>
          <t>Saharanpur</t>
        </is>
      </c>
      <c r="G35" t="inlineStr">
        <is>
          <t>2026-2030</t>
        </is>
      </c>
      <c r="H35" t="inlineStr">
        <is>
          <t>Centre of Excellence</t>
        </is>
      </c>
      <c r="I35" t="inlineStr">
        <is>
          <t>Under Review</t>
        </is>
      </c>
      <c r="J35" t="n">
        <v>23032</v>
      </c>
      <c r="K35" t="n">
        <v>2398</v>
      </c>
      <c r="L35" t="n">
        <v>20634</v>
      </c>
      <c r="M35" t="n">
        <v>89.59999999999999</v>
      </c>
      <c r="N35" t="n">
        <v>360.96</v>
      </c>
      <c r="O35" t="n">
        <v>12</v>
      </c>
      <c r="P35" t="n">
        <v>2025</v>
      </c>
      <c r="Q35" t="n">
        <v>52</v>
      </c>
      <c r="R35" t="n">
        <v>82</v>
      </c>
      <c r="S35" t="n">
        <v>64</v>
      </c>
    </row>
    <row r="36">
      <c r="A36" t="n">
        <v>35</v>
      </c>
      <c r="B36" s="3" t="inlineStr">
        <is>
          <t>Critical</t>
        </is>
      </c>
      <c r="C36" t="inlineStr">
        <is>
          <t>Expand AI &amp; Data Centres training capacity</t>
        </is>
      </c>
      <c r="D36" t="inlineStr">
        <is>
          <t>AI &amp; Data Centres</t>
        </is>
      </c>
      <c r="E36" t="inlineStr">
        <is>
          <t>STPI Lucknow</t>
        </is>
      </c>
      <c r="F36" t="inlineStr">
        <is>
          <t>Meerut</t>
        </is>
      </c>
      <c r="G36" t="inlineStr">
        <is>
          <t>2025-2026</t>
        </is>
      </c>
      <c r="H36" t="inlineStr">
        <is>
          <t>Fast-track Hiring</t>
        </is>
      </c>
      <c r="I36" t="inlineStr">
        <is>
          <t>Under Review</t>
        </is>
      </c>
      <c r="J36" t="n">
        <v>22375</v>
      </c>
      <c r="K36" t="n">
        <v>11150</v>
      </c>
      <c r="L36" t="n">
        <v>11225</v>
      </c>
      <c r="M36" t="n">
        <v>50.2</v>
      </c>
      <c r="N36" t="n">
        <v>269.17</v>
      </c>
      <c r="O36" t="n">
        <v>26</v>
      </c>
      <c r="P36" t="n">
        <v>2028</v>
      </c>
      <c r="Q36" t="n">
        <v>58</v>
      </c>
      <c r="R36" t="n">
        <v>83</v>
      </c>
      <c r="S36" t="n">
        <v>89</v>
      </c>
    </row>
    <row r="37">
      <c r="A37" t="n">
        <v>36</v>
      </c>
      <c r="B37" s="2" t="inlineStr">
        <is>
          <t>Medium</t>
        </is>
      </c>
      <c r="C37" t="inlineStr">
        <is>
          <t>Establish AI &amp; Data Centres skilling hub</t>
        </is>
      </c>
      <c r="D37" t="inlineStr">
        <is>
          <t>AI &amp; Data Centres</t>
        </is>
      </c>
      <c r="E37" t="inlineStr">
        <is>
          <t>STPI Lucknow</t>
        </is>
      </c>
      <c r="F37" t="inlineStr">
        <is>
          <t>Moradabad</t>
        </is>
      </c>
      <c r="G37" t="inlineStr">
        <is>
          <t>2025-2027</t>
        </is>
      </c>
      <c r="H37" t="inlineStr">
        <is>
          <t>Fast-track Hiring</t>
        </is>
      </c>
      <c r="I37" t="inlineStr">
        <is>
          <t>In Execution</t>
        </is>
      </c>
      <c r="J37" t="n">
        <v>8601</v>
      </c>
      <c r="K37" t="n">
        <v>6277</v>
      </c>
      <c r="L37" t="n">
        <v>2324</v>
      </c>
      <c r="M37" t="n">
        <v>27</v>
      </c>
      <c r="N37" t="n">
        <v>134.55</v>
      </c>
      <c r="O37" t="n">
        <v>39</v>
      </c>
      <c r="P37" t="n">
        <v>2025</v>
      </c>
      <c r="Q37" t="n">
        <v>18</v>
      </c>
      <c r="R37" t="n">
        <v>86</v>
      </c>
      <c r="S37" t="n">
        <v>90</v>
      </c>
    </row>
    <row r="38">
      <c r="A38" t="n">
        <v>37</v>
      </c>
      <c r="B38" s="2" t="inlineStr">
        <is>
          <t>Medium</t>
        </is>
      </c>
      <c r="C38" t="inlineStr">
        <is>
          <t>Industry-academia link for Skill Development</t>
        </is>
      </c>
      <c r="D38" t="inlineStr">
        <is>
          <t>Skill Development</t>
        </is>
      </c>
      <c r="E38" t="inlineStr">
        <is>
          <t>UPSDM</t>
        </is>
      </c>
      <c r="F38" t="inlineStr">
        <is>
          <t>Meerut</t>
        </is>
      </c>
      <c r="G38" t="inlineStr">
        <is>
          <t>2026-2028</t>
        </is>
      </c>
      <c r="H38" t="inlineStr">
        <is>
          <t>PPP Partnership</t>
        </is>
      </c>
      <c r="I38" t="inlineStr">
        <is>
          <t>Approved</t>
        </is>
      </c>
      <c r="J38" t="n">
        <v>3140</v>
      </c>
      <c r="K38" t="n">
        <v>639</v>
      </c>
      <c r="L38" t="n">
        <v>2501</v>
      </c>
      <c r="M38" t="n">
        <v>79.59999999999999</v>
      </c>
      <c r="N38" t="n">
        <v>112.54</v>
      </c>
      <c r="O38" t="n">
        <v>15</v>
      </c>
      <c r="P38" t="n">
        <v>2026</v>
      </c>
      <c r="Q38" t="n">
        <v>27</v>
      </c>
      <c r="R38" t="n">
        <v>68</v>
      </c>
      <c r="S38" t="n">
        <v>54</v>
      </c>
    </row>
    <row r="39">
      <c r="A39" t="n">
        <v>38</v>
      </c>
      <c r="B39" s="4" t="inlineStr">
        <is>
          <t>High</t>
        </is>
      </c>
      <c r="C39" t="inlineStr">
        <is>
          <t>Reskilling drive for Tourism &amp; Hospitality</t>
        </is>
      </c>
      <c r="D39" t="inlineStr">
        <is>
          <t>Tourism &amp; Hospitality</t>
        </is>
      </c>
      <c r="E39" t="inlineStr">
        <is>
          <t>UP Tourism Corp</t>
        </is>
      </c>
      <c r="F39" t="inlineStr">
        <is>
          <t>Agra</t>
        </is>
      </c>
      <c r="G39" t="inlineStr">
        <is>
          <t>2026-2030</t>
        </is>
      </c>
      <c r="H39" t="inlineStr">
        <is>
          <t>Apprenticeship</t>
        </is>
      </c>
      <c r="I39" t="inlineStr">
        <is>
          <t>Pending Funding</t>
        </is>
      </c>
      <c r="J39" t="n">
        <v>1140</v>
      </c>
      <c r="K39" t="n">
        <v>846</v>
      </c>
      <c r="L39" t="n">
        <v>294</v>
      </c>
      <c r="M39" t="n">
        <v>25.8</v>
      </c>
      <c r="N39" t="n">
        <v>367.95</v>
      </c>
      <c r="O39" t="n">
        <v>30</v>
      </c>
      <c r="P39" t="n">
        <v>2026</v>
      </c>
      <c r="Q39" t="n">
        <v>20</v>
      </c>
      <c r="R39" t="n">
        <v>85</v>
      </c>
      <c r="S39" t="n">
        <v>50</v>
      </c>
    </row>
    <row r="40">
      <c r="A40" t="n">
        <v>39</v>
      </c>
      <c r="B40" s="2" t="inlineStr">
        <is>
          <t>Medium</t>
        </is>
      </c>
      <c r="C40" t="inlineStr">
        <is>
          <t>Police &amp; Home cadre restructuring</t>
        </is>
      </c>
      <c r="D40" t="inlineStr">
        <is>
          <t>Police &amp; Home</t>
        </is>
      </c>
      <c r="E40" t="inlineStr">
        <is>
          <t>UP Police</t>
        </is>
      </c>
      <c r="F40" t="inlineStr">
        <is>
          <t>Meerut</t>
        </is>
      </c>
      <c r="G40" t="inlineStr">
        <is>
          <t>2026-2030</t>
        </is>
      </c>
      <c r="H40" t="inlineStr">
        <is>
          <t>Centre of Excellence</t>
        </is>
      </c>
      <c r="I40" t="inlineStr">
        <is>
          <t>Approved</t>
        </is>
      </c>
      <c r="J40" t="n">
        <v>16413</v>
      </c>
      <c r="K40" t="n">
        <v>1998</v>
      </c>
      <c r="L40" t="n">
        <v>14415</v>
      </c>
      <c r="M40" t="n">
        <v>87.8</v>
      </c>
      <c r="N40" t="n">
        <v>162.67</v>
      </c>
      <c r="O40" t="n">
        <v>31</v>
      </c>
      <c r="P40" t="n">
        <v>2025</v>
      </c>
      <c r="Q40" t="n">
        <v>40</v>
      </c>
      <c r="R40" t="n">
        <v>65</v>
      </c>
      <c r="S40" t="n">
        <v>79</v>
      </c>
    </row>
    <row r="41">
      <c r="A41" t="n">
        <v>40</v>
      </c>
      <c r="B41" s="5" t="inlineStr">
        <is>
          <t>Low</t>
        </is>
      </c>
      <c r="C41" t="inlineStr">
        <is>
          <t>Expand Pharma &amp; Biotech training capacity</t>
        </is>
      </c>
      <c r="D41" t="inlineStr">
        <is>
          <t>Pharma &amp; Biotech</t>
        </is>
      </c>
      <c r="E41" t="inlineStr">
        <is>
          <t>Drugs Control</t>
        </is>
      </c>
      <c r="F41" t="inlineStr">
        <is>
          <t>Lucknow</t>
        </is>
      </c>
      <c r="G41" t="inlineStr">
        <is>
          <t>2025-2026</t>
        </is>
      </c>
      <c r="H41" t="inlineStr">
        <is>
          <t>Apprenticeship</t>
        </is>
      </c>
      <c r="I41" t="inlineStr">
        <is>
          <t>Under Review</t>
        </is>
      </c>
      <c r="J41" t="n">
        <v>6454</v>
      </c>
      <c r="K41" t="n">
        <v>888</v>
      </c>
      <c r="L41" t="n">
        <v>5566</v>
      </c>
      <c r="M41" t="n">
        <v>86.2</v>
      </c>
      <c r="N41" t="n">
        <v>183.21</v>
      </c>
      <c r="O41" t="n">
        <v>19</v>
      </c>
      <c r="P41" t="n">
        <v>2026</v>
      </c>
      <c r="Q41" t="n">
        <v>49</v>
      </c>
      <c r="R41" t="n">
        <v>84</v>
      </c>
      <c r="S41" t="n">
        <v>70</v>
      </c>
    </row>
    <row r="42">
      <c r="A42" t="n">
        <v>41</v>
      </c>
      <c r="B42" s="2" t="inlineStr">
        <is>
          <t>Medium</t>
        </is>
      </c>
      <c r="C42" t="inlineStr">
        <is>
          <t>Scale Police &amp; Home workforce pipeline</t>
        </is>
      </c>
      <c r="D42" t="inlineStr">
        <is>
          <t>Police &amp; Home</t>
        </is>
      </c>
      <c r="E42" t="inlineStr">
        <is>
          <t>UP Police</t>
        </is>
      </c>
      <c r="F42" t="inlineStr">
        <is>
          <t>Mathura</t>
        </is>
      </c>
      <c r="G42" t="inlineStr">
        <is>
          <t>2026-2028</t>
        </is>
      </c>
      <c r="H42" t="inlineStr">
        <is>
          <t>Recruitment</t>
        </is>
      </c>
      <c r="I42" t="inlineStr">
        <is>
          <t>In Execution</t>
        </is>
      </c>
      <c r="J42" t="n">
        <v>18175</v>
      </c>
      <c r="K42" t="n">
        <v>2527</v>
      </c>
      <c r="L42" t="n">
        <v>15648</v>
      </c>
      <c r="M42" t="n">
        <v>86.09999999999999</v>
      </c>
      <c r="N42" t="n">
        <v>457.02</v>
      </c>
      <c r="O42" t="n">
        <v>20</v>
      </c>
      <c r="P42" t="n">
        <v>2028</v>
      </c>
      <c r="Q42" t="n">
        <v>3</v>
      </c>
      <c r="R42" t="n">
        <v>96</v>
      </c>
      <c r="S42" t="n">
        <v>54</v>
      </c>
    </row>
    <row r="43">
      <c r="A43" t="n">
        <v>42</v>
      </c>
      <c r="B43" s="4" t="inlineStr">
        <is>
          <t>High</t>
        </is>
      </c>
      <c r="C43" t="inlineStr">
        <is>
          <t>Fast-track recruitment for IT &amp; Electronics</t>
        </is>
      </c>
      <c r="D43" t="inlineStr">
        <is>
          <t>IT &amp; Electronics</t>
        </is>
      </c>
      <c r="E43" t="inlineStr">
        <is>
          <t>IT &amp; Electronics Dept</t>
        </is>
      </c>
      <c r="F43" t="inlineStr">
        <is>
          <t>Lucknow</t>
        </is>
      </c>
      <c r="G43" t="inlineStr">
        <is>
          <t>2027-2030</t>
        </is>
      </c>
      <c r="H43" t="inlineStr">
        <is>
          <t>Curriculum Reform</t>
        </is>
      </c>
      <c r="I43" t="inlineStr">
        <is>
          <t>Under Review</t>
        </is>
      </c>
      <c r="J43" t="n">
        <v>16017</v>
      </c>
      <c r="K43" t="n">
        <v>9643</v>
      </c>
      <c r="L43" t="n">
        <v>6374</v>
      </c>
      <c r="M43" t="n">
        <v>39.8</v>
      </c>
      <c r="N43" t="n">
        <v>271.58</v>
      </c>
      <c r="O43" t="n">
        <v>19</v>
      </c>
      <c r="P43" t="n">
        <v>2026</v>
      </c>
      <c r="Q43" t="n">
        <v>50</v>
      </c>
      <c r="R43" t="n">
        <v>84</v>
      </c>
      <c r="S43" t="n">
        <v>94</v>
      </c>
    </row>
    <row r="44">
      <c r="A44" t="n">
        <v>43</v>
      </c>
      <c r="B44" s="2" t="inlineStr">
        <is>
          <t>Medium</t>
        </is>
      </c>
      <c r="C44" t="inlineStr">
        <is>
          <t>Certification roll-out for Public Works</t>
        </is>
      </c>
      <c r="D44" t="inlineStr">
        <is>
          <t>Public Works</t>
        </is>
      </c>
      <c r="E44" t="inlineStr">
        <is>
          <t>PWD</t>
        </is>
      </c>
      <c r="F44" t="inlineStr">
        <is>
          <t>Ghaziabad</t>
        </is>
      </c>
      <c r="G44" t="inlineStr">
        <is>
          <t>2025-2027</t>
        </is>
      </c>
      <c r="H44" t="inlineStr">
        <is>
          <t>ITI Conversion</t>
        </is>
      </c>
      <c r="I44" t="inlineStr">
        <is>
          <t>Proposed</t>
        </is>
      </c>
      <c r="J44" t="n">
        <v>1341</v>
      </c>
      <c r="K44" t="n">
        <v>1068</v>
      </c>
      <c r="L44" t="n">
        <v>273</v>
      </c>
      <c r="M44" t="n">
        <v>20.4</v>
      </c>
      <c r="N44" t="n">
        <v>277.23</v>
      </c>
      <c r="O44" t="n">
        <v>30</v>
      </c>
      <c r="P44" t="n">
        <v>2025</v>
      </c>
      <c r="Q44" t="n">
        <v>5</v>
      </c>
      <c r="R44" t="n">
        <v>80</v>
      </c>
      <c r="S44" t="n">
        <v>95</v>
      </c>
    </row>
    <row r="45">
      <c r="A45" t="n">
        <v>44</v>
      </c>
      <c r="B45" s="3" t="inlineStr">
        <is>
          <t>Critical</t>
        </is>
      </c>
      <c r="C45" t="inlineStr">
        <is>
          <t>Certification roll-out for Logistics &amp; Warehousing</t>
        </is>
      </c>
      <c r="D45" t="inlineStr">
        <is>
          <t>Logistics &amp; Warehousing</t>
        </is>
      </c>
      <c r="E45" t="inlineStr">
        <is>
          <t>Industries Dept</t>
        </is>
      </c>
      <c r="F45" t="inlineStr">
        <is>
          <t>Gorakhpur</t>
        </is>
      </c>
      <c r="G45" t="inlineStr">
        <is>
          <t>2028-2030</t>
        </is>
      </c>
      <c r="H45" t="inlineStr">
        <is>
          <t>Certification Program</t>
        </is>
      </c>
      <c r="I45" t="inlineStr">
        <is>
          <t>Proposed</t>
        </is>
      </c>
      <c r="J45" t="n">
        <v>1845</v>
      </c>
      <c r="K45" t="n">
        <v>664</v>
      </c>
      <c r="L45" t="n">
        <v>1181</v>
      </c>
      <c r="M45" t="n">
        <v>64</v>
      </c>
      <c r="N45" t="n">
        <v>206.76</v>
      </c>
      <c r="O45" t="n">
        <v>29</v>
      </c>
      <c r="P45" t="n">
        <v>2028</v>
      </c>
      <c r="Q45" t="n">
        <v>22</v>
      </c>
      <c r="R45" t="n">
        <v>59</v>
      </c>
      <c r="S45" t="n">
        <v>82</v>
      </c>
    </row>
    <row r="46">
      <c r="A46" t="n">
        <v>45</v>
      </c>
      <c r="B46" s="2" t="inlineStr">
        <is>
          <t>Medium</t>
        </is>
      </c>
      <c r="C46" t="inlineStr">
        <is>
          <t>Reskilling drive for IT &amp; Electronics</t>
        </is>
      </c>
      <c r="D46" t="inlineStr">
        <is>
          <t>IT &amp; Electronics</t>
        </is>
      </c>
      <c r="E46" t="inlineStr">
        <is>
          <t>UPDESCO</t>
        </is>
      </c>
      <c r="F46" t="inlineStr">
        <is>
          <t>Ghaziabad</t>
        </is>
      </c>
      <c r="G46" t="inlineStr">
        <is>
          <t>2026-2030</t>
        </is>
      </c>
      <c r="H46" t="inlineStr">
        <is>
          <t>PPP Partnership</t>
        </is>
      </c>
      <c r="I46" t="inlineStr">
        <is>
          <t>In Execution</t>
        </is>
      </c>
      <c r="J46" t="n">
        <v>5513</v>
      </c>
      <c r="K46" t="n">
        <v>2351</v>
      </c>
      <c r="L46" t="n">
        <v>3162</v>
      </c>
      <c r="M46" t="n">
        <v>57.4</v>
      </c>
      <c r="N46" t="n">
        <v>352.75</v>
      </c>
      <c r="O46" t="n">
        <v>47</v>
      </c>
      <c r="P46" t="n">
        <v>2027</v>
      </c>
      <c r="Q46" t="n">
        <v>50</v>
      </c>
      <c r="R46" t="n">
        <v>72</v>
      </c>
      <c r="S46" t="n">
        <v>89</v>
      </c>
    </row>
    <row r="47">
      <c r="A47" t="n">
        <v>46</v>
      </c>
      <c r="B47" s="4" t="inlineStr">
        <is>
          <t>High</t>
        </is>
      </c>
      <c r="C47" t="inlineStr">
        <is>
          <t>Establish EV &amp; Mobility skilling hub</t>
        </is>
      </c>
      <c r="D47" t="inlineStr">
        <is>
          <t>EV &amp; Mobility</t>
        </is>
      </c>
      <c r="E47" t="inlineStr">
        <is>
          <t>Industries Dept</t>
        </is>
      </c>
      <c r="F47" t="inlineStr">
        <is>
          <t>Bareilly</t>
        </is>
      </c>
      <c r="G47" t="inlineStr">
        <is>
          <t>2026-2028</t>
        </is>
      </c>
      <c r="H47" t="inlineStr">
        <is>
          <t>Centre of Excellence</t>
        </is>
      </c>
      <c r="I47" t="inlineStr">
        <is>
          <t>Proposed</t>
        </is>
      </c>
      <c r="J47" t="n">
        <v>15271</v>
      </c>
      <c r="K47" t="n">
        <v>4320</v>
      </c>
      <c r="L47" t="n">
        <v>10951</v>
      </c>
      <c r="M47" t="n">
        <v>71.7</v>
      </c>
      <c r="N47" t="n">
        <v>224.13</v>
      </c>
      <c r="O47" t="n">
        <v>45</v>
      </c>
      <c r="P47" t="n">
        <v>2026</v>
      </c>
      <c r="Q47" t="n">
        <v>2</v>
      </c>
      <c r="R47" t="n">
        <v>97</v>
      </c>
      <c r="S47" t="n">
        <v>74</v>
      </c>
    </row>
    <row r="48">
      <c r="A48" t="n">
        <v>47</v>
      </c>
      <c r="B48" s="4" t="inlineStr">
        <is>
          <t>High</t>
        </is>
      </c>
      <c r="C48" t="inlineStr">
        <is>
          <t>Establish EV &amp; Mobility skilling hub</t>
        </is>
      </c>
      <c r="D48" t="inlineStr">
        <is>
          <t>EV &amp; Mobility</t>
        </is>
      </c>
      <c r="E48" t="inlineStr">
        <is>
          <t>Industries Dept</t>
        </is>
      </c>
      <c r="F48" t="inlineStr">
        <is>
          <t>Agra</t>
        </is>
      </c>
      <c r="G48" t="inlineStr">
        <is>
          <t>2026-2028</t>
        </is>
      </c>
      <c r="H48" t="inlineStr">
        <is>
          <t>ITI Conversion</t>
        </is>
      </c>
      <c r="I48" t="inlineStr">
        <is>
          <t>Approved</t>
        </is>
      </c>
      <c r="J48" t="n">
        <v>20034</v>
      </c>
      <c r="K48" t="n">
        <v>12539</v>
      </c>
      <c r="L48" t="n">
        <v>7495</v>
      </c>
      <c r="M48" t="n">
        <v>37.4</v>
      </c>
      <c r="N48" t="n">
        <v>134.06</v>
      </c>
      <c r="O48" t="n">
        <v>6</v>
      </c>
      <c r="P48" t="n">
        <v>2025</v>
      </c>
      <c r="Q48" t="n">
        <v>16</v>
      </c>
      <c r="R48" t="n">
        <v>88</v>
      </c>
      <c r="S48" t="n">
        <v>62</v>
      </c>
    </row>
    <row r="49">
      <c r="A49" t="n">
        <v>48</v>
      </c>
      <c r="B49" s="2" t="inlineStr">
        <is>
          <t>Medium</t>
        </is>
      </c>
      <c r="C49" t="inlineStr">
        <is>
          <t>Expand Revenue training capacity</t>
        </is>
      </c>
      <c r="D49" t="inlineStr">
        <is>
          <t>Revenue</t>
        </is>
      </c>
      <c r="E49" t="inlineStr">
        <is>
          <t>Board of Revenue</t>
        </is>
      </c>
      <c r="F49" t="inlineStr">
        <is>
          <t>Meerut</t>
        </is>
      </c>
      <c r="G49" t="inlineStr">
        <is>
          <t>2028-2030</t>
        </is>
      </c>
      <c r="H49" t="inlineStr">
        <is>
          <t>Fast-track Hiring</t>
        </is>
      </c>
      <c r="I49" t="inlineStr">
        <is>
          <t>In Execution</t>
        </is>
      </c>
      <c r="J49" t="n">
        <v>1065</v>
      </c>
      <c r="K49" t="n">
        <v>180</v>
      </c>
      <c r="L49" t="n">
        <v>885</v>
      </c>
      <c r="M49" t="n">
        <v>83.09999999999999</v>
      </c>
      <c r="N49" t="n">
        <v>107.92</v>
      </c>
      <c r="O49" t="n">
        <v>21</v>
      </c>
      <c r="P49" t="n">
        <v>2027</v>
      </c>
      <c r="Q49" t="n">
        <v>24</v>
      </c>
      <c r="R49" t="n">
        <v>74</v>
      </c>
      <c r="S49" t="n">
        <v>92</v>
      </c>
    </row>
    <row r="50">
      <c r="A50" t="n">
        <v>49</v>
      </c>
      <c r="B50" s="4" t="inlineStr">
        <is>
          <t>High</t>
        </is>
      </c>
      <c r="C50" t="inlineStr">
        <is>
          <t>Establish EV &amp; Mobility skilling hub</t>
        </is>
      </c>
      <c r="D50" t="inlineStr">
        <is>
          <t>EV &amp; Mobility</t>
        </is>
      </c>
      <c r="E50" t="inlineStr">
        <is>
          <t>Industries Dept</t>
        </is>
      </c>
      <c r="F50" t="inlineStr">
        <is>
          <t>Aligarh</t>
        </is>
      </c>
      <c r="G50" t="inlineStr">
        <is>
          <t>2026-2028</t>
        </is>
      </c>
      <c r="H50" t="inlineStr">
        <is>
          <t>Fast-track Hiring</t>
        </is>
      </c>
      <c r="I50" t="inlineStr">
        <is>
          <t>Approved</t>
        </is>
      </c>
      <c r="J50" t="n">
        <v>8737</v>
      </c>
      <c r="K50" t="n">
        <v>2384</v>
      </c>
      <c r="L50" t="n">
        <v>6353</v>
      </c>
      <c r="M50" t="n">
        <v>72.7</v>
      </c>
      <c r="N50" t="n">
        <v>346.77</v>
      </c>
      <c r="O50" t="n">
        <v>26</v>
      </c>
      <c r="P50" t="n">
        <v>2027</v>
      </c>
      <c r="Q50" t="n">
        <v>49</v>
      </c>
      <c r="R50" t="n">
        <v>62</v>
      </c>
      <c r="S50" t="n">
        <v>97</v>
      </c>
    </row>
    <row r="51">
      <c r="A51" t="n">
        <v>50</v>
      </c>
      <c r="B51" s="4" t="inlineStr">
        <is>
          <t>High</t>
        </is>
      </c>
      <c r="C51" t="inlineStr">
        <is>
          <t>Certification roll-out for Transport</t>
        </is>
      </c>
      <c r="D51" t="inlineStr">
        <is>
          <t>Transport</t>
        </is>
      </c>
      <c r="E51" t="inlineStr">
        <is>
          <t>Transport Dept</t>
        </is>
      </c>
      <c r="F51" t="inlineStr">
        <is>
          <t>Saharanpur</t>
        </is>
      </c>
      <c r="G51" t="inlineStr">
        <is>
          <t>2026-2028</t>
        </is>
      </c>
      <c r="H51" t="inlineStr">
        <is>
          <t>Certification Program</t>
        </is>
      </c>
      <c r="I51" t="inlineStr">
        <is>
          <t>Pending Funding</t>
        </is>
      </c>
      <c r="J51" t="n">
        <v>9773</v>
      </c>
      <c r="K51" t="n">
        <v>8164</v>
      </c>
      <c r="L51" t="n">
        <v>1609</v>
      </c>
      <c r="M51" t="n">
        <v>16.5</v>
      </c>
      <c r="N51" t="n">
        <v>400</v>
      </c>
      <c r="O51" t="n">
        <v>24</v>
      </c>
      <c r="P51" t="n">
        <v>2025</v>
      </c>
      <c r="Q51" t="n">
        <v>20</v>
      </c>
      <c r="R51" t="n">
        <v>69</v>
      </c>
      <c r="S51" t="n">
        <v>73</v>
      </c>
    </row>
    <row r="52">
      <c r="A52" t="n">
        <v>51</v>
      </c>
      <c r="B52" s="2" t="inlineStr">
        <is>
          <t>Medium</t>
        </is>
      </c>
      <c r="C52" t="inlineStr">
        <is>
          <t>Establish IT &amp; Electronics skilling hub</t>
        </is>
      </c>
      <c r="D52" t="inlineStr">
        <is>
          <t>IT &amp; Electronics</t>
        </is>
      </c>
      <c r="E52" t="inlineStr">
        <is>
          <t>UPLC</t>
        </is>
      </c>
      <c r="F52" t="inlineStr">
        <is>
          <t>Bareilly</t>
        </is>
      </c>
      <c r="G52" t="inlineStr">
        <is>
          <t>2025-2026</t>
        </is>
      </c>
      <c r="H52" t="inlineStr">
        <is>
          <t>Skilling</t>
        </is>
      </c>
      <c r="I52" t="inlineStr">
        <is>
          <t>Pending Funding</t>
        </is>
      </c>
      <c r="J52" t="n">
        <v>23352</v>
      </c>
      <c r="K52" t="n">
        <v>18869</v>
      </c>
      <c r="L52" t="n">
        <v>4483</v>
      </c>
      <c r="M52" t="n">
        <v>19.2</v>
      </c>
      <c r="N52" t="n">
        <v>306.9</v>
      </c>
      <c r="O52" t="n">
        <v>37</v>
      </c>
      <c r="P52" t="n">
        <v>2027</v>
      </c>
      <c r="Q52" t="n">
        <v>19</v>
      </c>
      <c r="R52" t="n">
        <v>61</v>
      </c>
      <c r="S52" t="n">
        <v>50</v>
      </c>
    </row>
    <row r="53">
      <c r="A53" t="n">
        <v>52</v>
      </c>
      <c r="B53" s="4" t="inlineStr">
        <is>
          <t>High</t>
        </is>
      </c>
      <c r="C53" t="inlineStr">
        <is>
          <t>Launch EV &amp; Mobility Centre of Excellence</t>
        </is>
      </c>
      <c r="D53" t="inlineStr">
        <is>
          <t>EV &amp; Mobility</t>
        </is>
      </c>
      <c r="E53" t="inlineStr">
        <is>
          <t>Industries Dept</t>
        </is>
      </c>
      <c r="F53" t="inlineStr">
        <is>
          <t>Prayagraj</t>
        </is>
      </c>
      <c r="G53" t="inlineStr">
        <is>
          <t>2025-2026</t>
        </is>
      </c>
      <c r="H53" t="inlineStr">
        <is>
          <t>ITI Conversion</t>
        </is>
      </c>
      <c r="I53" t="inlineStr">
        <is>
          <t>In Execution</t>
        </is>
      </c>
      <c r="J53" t="n">
        <v>2641</v>
      </c>
      <c r="K53" t="n">
        <v>1057</v>
      </c>
      <c r="L53" t="n">
        <v>1584</v>
      </c>
      <c r="M53" t="n">
        <v>60</v>
      </c>
      <c r="N53" t="n">
        <v>37.41</v>
      </c>
      <c r="O53" t="n">
        <v>46</v>
      </c>
      <c r="P53" t="n">
        <v>2025</v>
      </c>
      <c r="Q53" t="n">
        <v>10</v>
      </c>
      <c r="R53" t="n">
        <v>98</v>
      </c>
      <c r="S53" t="n">
        <v>53</v>
      </c>
    </row>
    <row r="54">
      <c r="A54" t="n">
        <v>53</v>
      </c>
      <c r="B54" s="3" t="inlineStr">
        <is>
          <t>Critical</t>
        </is>
      </c>
      <c r="C54" t="inlineStr">
        <is>
          <t>Certification roll-out for Logistics &amp; Warehousing</t>
        </is>
      </c>
      <c r="D54" t="inlineStr">
        <is>
          <t>Logistics &amp; Warehousing</t>
        </is>
      </c>
      <c r="E54" t="inlineStr">
        <is>
          <t>UPSIDA</t>
        </is>
      </c>
      <c r="F54" t="inlineStr">
        <is>
          <t>Meerut</t>
        </is>
      </c>
      <c r="G54" t="inlineStr">
        <is>
          <t>2025-2026</t>
        </is>
      </c>
      <c r="H54" t="inlineStr">
        <is>
          <t>University Tie-up</t>
        </is>
      </c>
      <c r="I54" t="inlineStr">
        <is>
          <t>In Execution</t>
        </is>
      </c>
      <c r="J54" t="n">
        <v>20033</v>
      </c>
      <c r="K54" t="n">
        <v>13883</v>
      </c>
      <c r="L54" t="n">
        <v>6150</v>
      </c>
      <c r="M54" t="n">
        <v>30.7</v>
      </c>
      <c r="N54" t="n">
        <v>109.88</v>
      </c>
      <c r="O54" t="n">
        <v>39</v>
      </c>
      <c r="P54" t="n">
        <v>2026</v>
      </c>
      <c r="Q54" t="n">
        <v>20</v>
      </c>
      <c r="R54" t="n">
        <v>79</v>
      </c>
      <c r="S54" t="n">
        <v>78</v>
      </c>
    </row>
    <row r="55">
      <c r="A55" t="n">
        <v>54</v>
      </c>
      <c r="B55" s="4" t="inlineStr">
        <is>
          <t>High</t>
        </is>
      </c>
      <c r="C55" t="inlineStr">
        <is>
          <t>Build Logistics &amp; Warehousing talent corridor</t>
        </is>
      </c>
      <c r="D55" t="inlineStr">
        <is>
          <t>Logistics &amp; Warehousing</t>
        </is>
      </c>
      <c r="E55" t="inlineStr">
        <is>
          <t>UPSIDA</t>
        </is>
      </c>
      <c r="F55" t="inlineStr">
        <is>
          <t>Kanpur</t>
        </is>
      </c>
      <c r="G55" t="inlineStr">
        <is>
          <t>2027-2030</t>
        </is>
      </c>
      <c r="H55" t="inlineStr">
        <is>
          <t>Recruitment</t>
        </is>
      </c>
      <c r="I55" t="inlineStr">
        <is>
          <t>Under Review</t>
        </is>
      </c>
      <c r="J55" t="n">
        <v>7414</v>
      </c>
      <c r="K55" t="n">
        <v>2212</v>
      </c>
      <c r="L55" t="n">
        <v>5202</v>
      </c>
      <c r="M55" t="n">
        <v>70.2</v>
      </c>
      <c r="N55" t="n">
        <v>40.81</v>
      </c>
      <c r="O55" t="n">
        <v>21</v>
      </c>
      <c r="P55" t="n">
        <v>2025</v>
      </c>
      <c r="Q55" t="n">
        <v>11</v>
      </c>
      <c r="R55" t="n">
        <v>66</v>
      </c>
      <c r="S55" t="n">
        <v>85</v>
      </c>
    </row>
    <row r="56">
      <c r="A56" t="n">
        <v>55</v>
      </c>
      <c r="B56" s="4" t="inlineStr">
        <is>
          <t>High</t>
        </is>
      </c>
      <c r="C56" t="inlineStr">
        <is>
          <t>Establish IT &amp; Electronics skilling hub</t>
        </is>
      </c>
      <c r="D56" t="inlineStr">
        <is>
          <t>IT &amp; Electronics</t>
        </is>
      </c>
      <c r="E56" t="inlineStr">
        <is>
          <t>UPDESCO</t>
        </is>
      </c>
      <c r="F56" t="inlineStr">
        <is>
          <t>Saharanpur</t>
        </is>
      </c>
      <c r="G56" t="inlineStr">
        <is>
          <t>2026-2028</t>
        </is>
      </c>
      <c r="H56" t="inlineStr">
        <is>
          <t>Skilling</t>
        </is>
      </c>
      <c r="I56" t="inlineStr">
        <is>
          <t>Under Review</t>
        </is>
      </c>
      <c r="J56" t="n">
        <v>23665</v>
      </c>
      <c r="K56" t="n">
        <v>7384</v>
      </c>
      <c r="L56" t="n">
        <v>16281</v>
      </c>
      <c r="M56" t="n">
        <v>68.8</v>
      </c>
      <c r="N56" t="n">
        <v>412.89</v>
      </c>
      <c r="O56" t="n">
        <v>10</v>
      </c>
      <c r="P56" t="n">
        <v>2026</v>
      </c>
      <c r="Q56" t="n">
        <v>51</v>
      </c>
      <c r="R56" t="n">
        <v>98</v>
      </c>
      <c r="S56" t="n">
        <v>64</v>
      </c>
    </row>
    <row r="57">
      <c r="A57" t="n">
        <v>56</v>
      </c>
      <c r="B57" s="4" t="inlineStr">
        <is>
          <t>High</t>
        </is>
      </c>
      <c r="C57" t="inlineStr">
        <is>
          <t>Fast-track recruitment for Logistics &amp; Warehousing</t>
        </is>
      </c>
      <c r="D57" t="inlineStr">
        <is>
          <t>Logistics &amp; Warehousing</t>
        </is>
      </c>
      <c r="E57" t="inlineStr">
        <is>
          <t>Industries Dept</t>
        </is>
      </c>
      <c r="F57" t="inlineStr">
        <is>
          <t>Meerut</t>
        </is>
      </c>
      <c r="G57" t="inlineStr">
        <is>
          <t>2028-2030</t>
        </is>
      </c>
      <c r="H57" t="inlineStr">
        <is>
          <t>Curriculum Reform</t>
        </is>
      </c>
      <c r="I57" t="inlineStr">
        <is>
          <t>Approved</t>
        </is>
      </c>
      <c r="J57" t="n">
        <v>2839</v>
      </c>
      <c r="K57" t="n">
        <v>410</v>
      </c>
      <c r="L57" t="n">
        <v>2429</v>
      </c>
      <c r="M57" t="n">
        <v>85.59999999999999</v>
      </c>
      <c r="N57" t="n">
        <v>380.88</v>
      </c>
      <c r="O57" t="n">
        <v>44</v>
      </c>
      <c r="P57" t="n">
        <v>2026</v>
      </c>
      <c r="Q57" t="n">
        <v>8</v>
      </c>
      <c r="R57" t="n">
        <v>91</v>
      </c>
      <c r="S57" t="n">
        <v>68</v>
      </c>
    </row>
    <row r="58">
      <c r="A58" t="n">
        <v>57</v>
      </c>
      <c r="B58" s="2" t="inlineStr">
        <is>
          <t>Medium</t>
        </is>
      </c>
      <c r="C58" t="inlineStr">
        <is>
          <t>Expand Skill Development training capacity</t>
        </is>
      </c>
      <c r="D58" t="inlineStr">
        <is>
          <t>Skill Development</t>
        </is>
      </c>
      <c r="E58" t="inlineStr">
        <is>
          <t>ITI Directorate</t>
        </is>
      </c>
      <c r="F58" t="inlineStr">
        <is>
          <t>Bareilly</t>
        </is>
      </c>
      <c r="G58" t="inlineStr">
        <is>
          <t>2027-2030</t>
        </is>
      </c>
      <c r="H58" t="inlineStr">
        <is>
          <t>University Tie-up</t>
        </is>
      </c>
      <c r="I58" t="inlineStr">
        <is>
          <t>In Execution</t>
        </is>
      </c>
      <c r="J58" t="n">
        <v>3135</v>
      </c>
      <c r="K58" t="n">
        <v>1719</v>
      </c>
      <c r="L58" t="n">
        <v>1416</v>
      </c>
      <c r="M58" t="n">
        <v>45.2</v>
      </c>
      <c r="N58" t="n">
        <v>427.14</v>
      </c>
      <c r="O58" t="n">
        <v>26</v>
      </c>
      <c r="P58" t="n">
        <v>2025</v>
      </c>
      <c r="Q58" t="n">
        <v>6</v>
      </c>
      <c r="R58" t="n">
        <v>93</v>
      </c>
      <c r="S58" t="n">
        <v>66</v>
      </c>
    </row>
    <row r="59">
      <c r="A59" t="n">
        <v>58</v>
      </c>
      <c r="B59" s="5" t="inlineStr">
        <is>
          <t>Low</t>
        </is>
      </c>
      <c r="C59" t="inlineStr">
        <is>
          <t>Expand Defence training capacity</t>
        </is>
      </c>
      <c r="D59" t="inlineStr">
        <is>
          <t>Defence</t>
        </is>
      </c>
      <c r="E59" t="inlineStr">
        <is>
          <t>UP Defence Corridor Authority</t>
        </is>
      </c>
      <c r="F59" t="inlineStr">
        <is>
          <t>Bareilly</t>
        </is>
      </c>
      <c r="G59" t="inlineStr">
        <is>
          <t>2027-2030</t>
        </is>
      </c>
      <c r="H59" t="inlineStr">
        <is>
          <t>Skilling</t>
        </is>
      </c>
      <c r="I59" t="inlineStr">
        <is>
          <t>Under Review</t>
        </is>
      </c>
      <c r="J59" t="n">
        <v>17505</v>
      </c>
      <c r="K59" t="n">
        <v>10304</v>
      </c>
      <c r="L59" t="n">
        <v>7201</v>
      </c>
      <c r="M59" t="n">
        <v>41.1</v>
      </c>
      <c r="N59" t="n">
        <v>439.88</v>
      </c>
      <c r="O59" t="n">
        <v>17</v>
      </c>
      <c r="P59" t="n">
        <v>2028</v>
      </c>
      <c r="Q59" t="n">
        <v>53</v>
      </c>
      <c r="R59" t="n">
        <v>92</v>
      </c>
      <c r="S59" t="n">
        <v>77</v>
      </c>
    </row>
    <row r="60">
      <c r="A60" t="n">
        <v>59</v>
      </c>
      <c r="B60" s="4" t="inlineStr">
        <is>
          <t>High</t>
        </is>
      </c>
      <c r="C60" t="inlineStr">
        <is>
          <t>Fast-track recruitment for EV &amp; Mobility</t>
        </is>
      </c>
      <c r="D60" t="inlineStr">
        <is>
          <t>EV &amp; Mobility</t>
        </is>
      </c>
      <c r="E60" t="inlineStr">
        <is>
          <t>Transport Dept</t>
        </is>
      </c>
      <c r="F60" t="inlineStr">
        <is>
          <t>Mathura</t>
        </is>
      </c>
      <c r="G60" t="inlineStr">
        <is>
          <t>2026-2028</t>
        </is>
      </c>
      <c r="H60" t="inlineStr">
        <is>
          <t>PPP Partnership</t>
        </is>
      </c>
      <c r="I60" t="inlineStr">
        <is>
          <t>Proposed</t>
        </is>
      </c>
      <c r="J60" t="n">
        <v>11307</v>
      </c>
      <c r="K60" t="n">
        <v>4621</v>
      </c>
      <c r="L60" t="n">
        <v>6686</v>
      </c>
      <c r="M60" t="n">
        <v>59.1</v>
      </c>
      <c r="N60" t="n">
        <v>238.83</v>
      </c>
      <c r="O60" t="n">
        <v>48</v>
      </c>
      <c r="P60" t="n">
        <v>2027</v>
      </c>
      <c r="Q60" t="n">
        <v>3</v>
      </c>
      <c r="R60" t="n">
        <v>80</v>
      </c>
      <c r="S60" t="n">
        <v>98</v>
      </c>
    </row>
    <row r="61">
      <c r="A61" t="n">
        <v>60</v>
      </c>
      <c r="B61" s="4" t="inlineStr">
        <is>
          <t>High</t>
        </is>
      </c>
      <c r="C61" t="inlineStr">
        <is>
          <t>Scale Skill Development workforce pipeline</t>
        </is>
      </c>
      <c r="D61" t="inlineStr">
        <is>
          <t>Skill Development</t>
        </is>
      </c>
      <c r="E61" t="inlineStr">
        <is>
          <t>UPSDM</t>
        </is>
      </c>
      <c r="F61" t="inlineStr">
        <is>
          <t>Aligarh</t>
        </is>
      </c>
      <c r="G61" t="inlineStr">
        <is>
          <t>2025-2026</t>
        </is>
      </c>
      <c r="H61" t="inlineStr">
        <is>
          <t>Apprenticeship</t>
        </is>
      </c>
      <c r="I61" t="inlineStr">
        <is>
          <t>Pending Funding</t>
        </is>
      </c>
      <c r="J61" t="n">
        <v>22050</v>
      </c>
      <c r="K61" t="n">
        <v>16582</v>
      </c>
      <c r="L61" t="n">
        <v>5468</v>
      </c>
      <c r="M61" t="n">
        <v>24.8</v>
      </c>
      <c r="N61" t="n">
        <v>222.82</v>
      </c>
      <c r="O61" t="n">
        <v>9</v>
      </c>
      <c r="P61" t="n">
        <v>2026</v>
      </c>
      <c r="Q61" t="n">
        <v>40</v>
      </c>
      <c r="R61" t="n">
        <v>67</v>
      </c>
      <c r="S61" t="n">
        <v>83</v>
      </c>
    </row>
    <row r="62">
      <c r="A62" t="n">
        <v>61</v>
      </c>
      <c r="B62" s="2" t="inlineStr">
        <is>
          <t>Medium</t>
        </is>
      </c>
      <c r="C62" t="inlineStr">
        <is>
          <t>Establish EV &amp; Mobility skilling hub</t>
        </is>
      </c>
      <c r="D62" t="inlineStr">
        <is>
          <t>EV &amp; Mobility</t>
        </is>
      </c>
      <c r="E62" t="inlineStr">
        <is>
          <t>Industries Dept</t>
        </is>
      </c>
      <c r="F62" t="inlineStr">
        <is>
          <t>Agra</t>
        </is>
      </c>
      <c r="G62" t="inlineStr">
        <is>
          <t>2026-2028</t>
        </is>
      </c>
      <c r="H62" t="inlineStr">
        <is>
          <t>University Tie-up</t>
        </is>
      </c>
      <c r="I62" t="inlineStr">
        <is>
          <t>Under Review</t>
        </is>
      </c>
      <c r="J62" t="n">
        <v>14856</v>
      </c>
      <c r="K62" t="n">
        <v>11299</v>
      </c>
      <c r="L62" t="n">
        <v>3557</v>
      </c>
      <c r="M62" t="n">
        <v>23.9</v>
      </c>
      <c r="N62" t="n">
        <v>233.69</v>
      </c>
      <c r="O62" t="n">
        <v>7</v>
      </c>
      <c r="P62" t="n">
        <v>2025</v>
      </c>
      <c r="Q62" t="n">
        <v>46</v>
      </c>
      <c r="R62" t="n">
        <v>95</v>
      </c>
      <c r="S62" t="n">
        <v>88</v>
      </c>
    </row>
    <row r="63">
      <c r="A63" t="n">
        <v>62</v>
      </c>
      <c r="B63" s="2" t="inlineStr">
        <is>
          <t>Medium</t>
        </is>
      </c>
      <c r="C63" t="inlineStr">
        <is>
          <t>Expand Transport training capacity</t>
        </is>
      </c>
      <c r="D63" t="inlineStr">
        <is>
          <t>Transport</t>
        </is>
      </c>
      <c r="E63" t="inlineStr">
        <is>
          <t>UPSRTC</t>
        </is>
      </c>
      <c r="F63" t="inlineStr">
        <is>
          <t>Mathura</t>
        </is>
      </c>
      <c r="G63" t="inlineStr">
        <is>
          <t>2025-2026</t>
        </is>
      </c>
      <c r="H63" t="inlineStr">
        <is>
          <t>Centre of Excellence</t>
        </is>
      </c>
      <c r="I63" t="inlineStr">
        <is>
          <t>Proposed</t>
        </is>
      </c>
      <c r="J63" t="n">
        <v>4349</v>
      </c>
      <c r="K63" t="n">
        <v>2547</v>
      </c>
      <c r="L63" t="n">
        <v>1802</v>
      </c>
      <c r="M63" t="n">
        <v>41.4</v>
      </c>
      <c r="N63" t="n">
        <v>75.59999999999999</v>
      </c>
      <c r="O63" t="n">
        <v>24</v>
      </c>
      <c r="P63" t="n">
        <v>2026</v>
      </c>
      <c r="Q63" t="n">
        <v>27</v>
      </c>
      <c r="R63" t="n">
        <v>87</v>
      </c>
      <c r="S63" t="n">
        <v>95</v>
      </c>
    </row>
    <row r="64">
      <c r="A64" t="n">
        <v>63</v>
      </c>
      <c r="B64" s="4" t="inlineStr">
        <is>
          <t>High</t>
        </is>
      </c>
      <c r="C64" t="inlineStr">
        <is>
          <t>Industry-academia link for EV &amp; Mobility</t>
        </is>
      </c>
      <c r="D64" t="inlineStr">
        <is>
          <t>EV &amp; Mobility</t>
        </is>
      </c>
      <c r="E64" t="inlineStr">
        <is>
          <t>Industries Dept</t>
        </is>
      </c>
      <c r="F64" t="inlineStr">
        <is>
          <t>Varanasi</t>
        </is>
      </c>
      <c r="G64" t="inlineStr">
        <is>
          <t>2026-2030</t>
        </is>
      </c>
      <c r="H64" t="inlineStr">
        <is>
          <t>Centre of Excellence</t>
        </is>
      </c>
      <c r="I64" t="inlineStr">
        <is>
          <t>Pending Funding</t>
        </is>
      </c>
      <c r="J64" t="n">
        <v>24954</v>
      </c>
      <c r="K64" t="n">
        <v>18952</v>
      </c>
      <c r="L64" t="n">
        <v>6002</v>
      </c>
      <c r="M64" t="n">
        <v>24.1</v>
      </c>
      <c r="N64" t="n">
        <v>415</v>
      </c>
      <c r="O64" t="n">
        <v>23</v>
      </c>
      <c r="P64" t="n">
        <v>2027</v>
      </c>
      <c r="Q64" t="n">
        <v>18</v>
      </c>
      <c r="R64" t="n">
        <v>81</v>
      </c>
      <c r="S64" t="n">
        <v>71</v>
      </c>
    </row>
    <row r="65">
      <c r="A65" t="n">
        <v>64</v>
      </c>
      <c r="B65" s="2" t="inlineStr">
        <is>
          <t>Medium</t>
        </is>
      </c>
      <c r="C65" t="inlineStr">
        <is>
          <t>Expand IT &amp; Electronics training capacity</t>
        </is>
      </c>
      <c r="D65" t="inlineStr">
        <is>
          <t>IT &amp; Electronics</t>
        </is>
      </c>
      <c r="E65" t="inlineStr">
        <is>
          <t>UPDESCO</t>
        </is>
      </c>
      <c r="F65" t="inlineStr">
        <is>
          <t>Saharanpur</t>
        </is>
      </c>
      <c r="G65" t="inlineStr">
        <is>
          <t>2025-2027</t>
        </is>
      </c>
      <c r="H65" t="inlineStr">
        <is>
          <t>Fast-track Hiring</t>
        </is>
      </c>
      <c r="I65" t="inlineStr">
        <is>
          <t>Pending Funding</t>
        </is>
      </c>
      <c r="J65" t="n">
        <v>11809</v>
      </c>
      <c r="K65" t="n">
        <v>4125</v>
      </c>
      <c r="L65" t="n">
        <v>7684</v>
      </c>
      <c r="M65" t="n">
        <v>65.09999999999999</v>
      </c>
      <c r="N65" t="n">
        <v>366.65</v>
      </c>
      <c r="O65" t="n">
        <v>30</v>
      </c>
      <c r="P65" t="n">
        <v>2025</v>
      </c>
      <c r="Q65" t="n">
        <v>45</v>
      </c>
      <c r="R65" t="n">
        <v>84</v>
      </c>
      <c r="S65" t="n">
        <v>70</v>
      </c>
    </row>
    <row r="66">
      <c r="A66" t="n">
        <v>65</v>
      </c>
      <c r="B66" s="4" t="inlineStr">
        <is>
          <t>High</t>
        </is>
      </c>
      <c r="C66" t="inlineStr">
        <is>
          <t>Reskilling drive for Defence</t>
        </is>
      </c>
      <c r="D66" t="inlineStr">
        <is>
          <t>Defence</t>
        </is>
      </c>
      <c r="E66" t="inlineStr">
        <is>
          <t>UP Defence Corridor Authority</t>
        </is>
      </c>
      <c r="F66" t="inlineStr">
        <is>
          <t>Mathura</t>
        </is>
      </c>
      <c r="G66" t="inlineStr">
        <is>
          <t>2025-2026</t>
        </is>
      </c>
      <c r="H66" t="inlineStr">
        <is>
          <t>PPP Partnership</t>
        </is>
      </c>
      <c r="I66" t="inlineStr">
        <is>
          <t>In Execution</t>
        </is>
      </c>
      <c r="J66" t="n">
        <v>12992</v>
      </c>
      <c r="K66" t="n">
        <v>5061</v>
      </c>
      <c r="L66" t="n">
        <v>7931</v>
      </c>
      <c r="M66" t="n">
        <v>61</v>
      </c>
      <c r="N66" t="n">
        <v>319.24</v>
      </c>
      <c r="O66" t="n">
        <v>47</v>
      </c>
      <c r="P66" t="n">
        <v>2025</v>
      </c>
      <c r="Q66" t="n">
        <v>9</v>
      </c>
      <c r="R66" t="n">
        <v>64</v>
      </c>
      <c r="S66" t="n">
        <v>81</v>
      </c>
    </row>
    <row r="67">
      <c r="A67" t="n">
        <v>66</v>
      </c>
      <c r="B67" s="5" t="inlineStr">
        <is>
          <t>Low</t>
        </is>
      </c>
      <c r="C67" t="inlineStr">
        <is>
          <t>Scale AI &amp; Data Centres workforce pipeline</t>
        </is>
      </c>
      <c r="D67" t="inlineStr">
        <is>
          <t>AI &amp; Data Centres</t>
        </is>
      </c>
      <c r="E67" t="inlineStr">
        <is>
          <t>STPI Lucknow</t>
        </is>
      </c>
      <c r="F67" t="inlineStr">
        <is>
          <t>Moradabad</t>
        </is>
      </c>
      <c r="G67" t="inlineStr">
        <is>
          <t>2025-2026</t>
        </is>
      </c>
      <c r="H67" t="inlineStr">
        <is>
          <t>University Tie-up</t>
        </is>
      </c>
      <c r="I67" t="inlineStr">
        <is>
          <t>In Execution</t>
        </is>
      </c>
      <c r="J67" t="n">
        <v>24173</v>
      </c>
      <c r="K67" t="n">
        <v>5030</v>
      </c>
      <c r="L67" t="n">
        <v>19143</v>
      </c>
      <c r="M67" t="n">
        <v>79.2</v>
      </c>
      <c r="N67" t="n">
        <v>418.31</v>
      </c>
      <c r="O67" t="n">
        <v>15</v>
      </c>
      <c r="P67" t="n">
        <v>2026</v>
      </c>
      <c r="Q67" t="n">
        <v>22</v>
      </c>
      <c r="R67" t="n">
        <v>59</v>
      </c>
      <c r="S67" t="n">
        <v>80</v>
      </c>
    </row>
    <row r="68">
      <c r="A68" t="n">
        <v>67</v>
      </c>
      <c r="B68" s="2" t="inlineStr">
        <is>
          <t>Medium</t>
        </is>
      </c>
      <c r="C68" t="inlineStr">
        <is>
          <t>PPP for Textile &amp; Apparel apprenticeships</t>
        </is>
      </c>
      <c r="D68" t="inlineStr">
        <is>
          <t>Textile &amp; Apparel</t>
        </is>
      </c>
      <c r="E68" t="inlineStr">
        <is>
          <t>Handloom &amp; Textiles Dept</t>
        </is>
      </c>
      <c r="F68" t="inlineStr">
        <is>
          <t>Aligarh</t>
        </is>
      </c>
      <c r="G68" t="inlineStr">
        <is>
          <t>2028-2030</t>
        </is>
      </c>
      <c r="H68" t="inlineStr">
        <is>
          <t>University Tie-up</t>
        </is>
      </c>
      <c r="I68" t="inlineStr">
        <is>
          <t>In Execution</t>
        </is>
      </c>
      <c r="J68" t="n">
        <v>21038</v>
      </c>
      <c r="K68" t="n">
        <v>13444</v>
      </c>
      <c r="L68" t="n">
        <v>7594</v>
      </c>
      <c r="M68" t="n">
        <v>36.1</v>
      </c>
      <c r="N68" t="n">
        <v>364.99</v>
      </c>
      <c r="O68" t="n">
        <v>40</v>
      </c>
      <c r="P68" t="n">
        <v>2025</v>
      </c>
      <c r="Q68" t="n">
        <v>16</v>
      </c>
      <c r="R68" t="n">
        <v>57</v>
      </c>
      <c r="S68" t="n">
        <v>89</v>
      </c>
    </row>
    <row r="69">
      <c r="A69" t="n">
        <v>68</v>
      </c>
      <c r="B69" s="2" t="inlineStr">
        <is>
          <t>Medium</t>
        </is>
      </c>
      <c r="C69" t="inlineStr">
        <is>
          <t>Fast-track recruitment for Agriculture &amp; Food Processing</t>
        </is>
      </c>
      <c r="D69" t="inlineStr">
        <is>
          <t>Agriculture &amp; Food Processing</t>
        </is>
      </c>
      <c r="E69" t="inlineStr">
        <is>
          <t>Agriculture Dept</t>
        </is>
      </c>
      <c r="F69" t="inlineStr">
        <is>
          <t>Mathura</t>
        </is>
      </c>
      <c r="G69" t="inlineStr">
        <is>
          <t>2025-2026</t>
        </is>
      </c>
      <c r="H69" t="inlineStr">
        <is>
          <t>Recruitment</t>
        </is>
      </c>
      <c r="I69" t="inlineStr">
        <is>
          <t>In Execution</t>
        </is>
      </c>
      <c r="J69" t="n">
        <v>23241</v>
      </c>
      <c r="K69" t="n">
        <v>7544</v>
      </c>
      <c r="L69" t="n">
        <v>15697</v>
      </c>
      <c r="M69" t="n">
        <v>67.5</v>
      </c>
      <c r="N69" t="n">
        <v>15.84</v>
      </c>
      <c r="O69" t="n">
        <v>26</v>
      </c>
      <c r="P69" t="n">
        <v>2026</v>
      </c>
      <c r="Q69" t="n">
        <v>24</v>
      </c>
      <c r="R69" t="n">
        <v>58</v>
      </c>
      <c r="S69" t="n">
        <v>68</v>
      </c>
    </row>
    <row r="70">
      <c r="A70" t="n">
        <v>69</v>
      </c>
      <c r="B70" s="4" t="inlineStr">
        <is>
          <t>High</t>
        </is>
      </c>
      <c r="C70" t="inlineStr">
        <is>
          <t>Fast-track recruitment for Revenue</t>
        </is>
      </c>
      <c r="D70" t="inlineStr">
        <is>
          <t>Revenue</t>
        </is>
      </c>
      <c r="E70" t="inlineStr">
        <is>
          <t>Revenue Dept</t>
        </is>
      </c>
      <c r="F70" t="inlineStr">
        <is>
          <t>Mathura</t>
        </is>
      </c>
      <c r="G70" t="inlineStr">
        <is>
          <t>2027-2030</t>
        </is>
      </c>
      <c r="H70" t="inlineStr">
        <is>
          <t>Curriculum Reform</t>
        </is>
      </c>
      <c r="I70" t="inlineStr">
        <is>
          <t>Under Review</t>
        </is>
      </c>
      <c r="J70" t="n">
        <v>3087</v>
      </c>
      <c r="K70" t="n">
        <v>1719</v>
      </c>
      <c r="L70" t="n">
        <v>1368</v>
      </c>
      <c r="M70" t="n">
        <v>44.3</v>
      </c>
      <c r="N70" t="n">
        <v>184.86</v>
      </c>
      <c r="O70" t="n">
        <v>21</v>
      </c>
      <c r="P70" t="n">
        <v>2025</v>
      </c>
      <c r="Q70" t="n">
        <v>15</v>
      </c>
      <c r="R70" t="n">
        <v>86</v>
      </c>
      <c r="S70" t="n">
        <v>87</v>
      </c>
    </row>
    <row r="71">
      <c r="A71" t="n">
        <v>70</v>
      </c>
      <c r="B71" s="4" t="inlineStr">
        <is>
          <t>High</t>
        </is>
      </c>
      <c r="C71" t="inlineStr">
        <is>
          <t>Fast-track recruitment for Skill Development</t>
        </is>
      </c>
      <c r="D71" t="inlineStr">
        <is>
          <t>Skill Development</t>
        </is>
      </c>
      <c r="E71" t="inlineStr">
        <is>
          <t>ITI Directorate</t>
        </is>
      </c>
      <c r="F71" t="inlineStr">
        <is>
          <t>Lucknow</t>
        </is>
      </c>
      <c r="G71" t="inlineStr">
        <is>
          <t>2026-2030</t>
        </is>
      </c>
      <c r="H71" t="inlineStr">
        <is>
          <t>ITI Conversion</t>
        </is>
      </c>
      <c r="I71" t="inlineStr">
        <is>
          <t>Pending Funding</t>
        </is>
      </c>
      <c r="J71" t="n">
        <v>2920</v>
      </c>
      <c r="K71" t="n">
        <v>1259</v>
      </c>
      <c r="L71" t="n">
        <v>1661</v>
      </c>
      <c r="M71" t="n">
        <v>56.9</v>
      </c>
      <c r="N71" t="n">
        <v>167.18</v>
      </c>
      <c r="O71" t="n">
        <v>43</v>
      </c>
      <c r="P71" t="n">
        <v>2026</v>
      </c>
      <c r="Q71" t="n">
        <v>45</v>
      </c>
      <c r="R71" t="n">
        <v>74</v>
      </c>
      <c r="S71" t="n">
        <v>90</v>
      </c>
    </row>
    <row r="72">
      <c r="A72" t="n">
        <v>71</v>
      </c>
      <c r="B72" s="2" t="inlineStr">
        <is>
          <t>Medium</t>
        </is>
      </c>
      <c r="C72" t="inlineStr">
        <is>
          <t>ITI conversion to Urban Development curriculum</t>
        </is>
      </c>
      <c r="D72" t="inlineStr">
        <is>
          <t>Urban Development</t>
        </is>
      </c>
      <c r="E72" t="inlineStr">
        <is>
          <t>Housing Board</t>
        </is>
      </c>
      <c r="F72" t="inlineStr">
        <is>
          <t>Agra</t>
        </is>
      </c>
      <c r="G72" t="inlineStr">
        <is>
          <t>2026-2030</t>
        </is>
      </c>
      <c r="H72" t="inlineStr">
        <is>
          <t>Fast-track Hiring</t>
        </is>
      </c>
      <c r="I72" t="inlineStr">
        <is>
          <t>Proposed</t>
        </is>
      </c>
      <c r="J72" t="n">
        <v>12996</v>
      </c>
      <c r="K72" t="n">
        <v>6874</v>
      </c>
      <c r="L72" t="n">
        <v>6122</v>
      </c>
      <c r="M72" t="n">
        <v>47.1</v>
      </c>
      <c r="N72" t="n">
        <v>276.76</v>
      </c>
      <c r="O72" t="n">
        <v>24</v>
      </c>
      <c r="P72" t="n">
        <v>2026</v>
      </c>
      <c r="Q72" t="n">
        <v>18</v>
      </c>
      <c r="R72" t="n">
        <v>56</v>
      </c>
      <c r="S72" t="n">
        <v>92</v>
      </c>
    </row>
    <row r="73">
      <c r="A73" t="n">
        <v>72</v>
      </c>
      <c r="B73" s="5" t="inlineStr">
        <is>
          <t>Low</t>
        </is>
      </c>
      <c r="C73" t="inlineStr">
        <is>
          <t>ITI conversion to IT &amp; Electronics curriculum</t>
        </is>
      </c>
      <c r="D73" t="inlineStr">
        <is>
          <t>IT &amp; Electronics</t>
        </is>
      </c>
      <c r="E73" t="inlineStr">
        <is>
          <t>UPLC</t>
        </is>
      </c>
      <c r="F73" t="inlineStr">
        <is>
          <t>Kanpur</t>
        </is>
      </c>
      <c r="G73" t="inlineStr">
        <is>
          <t>2027-2030</t>
        </is>
      </c>
      <c r="H73" t="inlineStr">
        <is>
          <t>Fast-track Hiring</t>
        </is>
      </c>
      <c r="I73" t="inlineStr">
        <is>
          <t>Approved</t>
        </is>
      </c>
      <c r="J73" t="n">
        <v>20392</v>
      </c>
      <c r="K73" t="n">
        <v>14303</v>
      </c>
      <c r="L73" t="n">
        <v>6089</v>
      </c>
      <c r="M73" t="n">
        <v>29.9</v>
      </c>
      <c r="N73" t="n">
        <v>106.68</v>
      </c>
      <c r="O73" t="n">
        <v>18</v>
      </c>
      <c r="P73" t="n">
        <v>2028</v>
      </c>
      <c r="Q73" t="n">
        <v>49</v>
      </c>
      <c r="R73" t="n">
        <v>94</v>
      </c>
      <c r="S73" t="n">
        <v>66</v>
      </c>
    </row>
    <row r="74">
      <c r="A74" t="n">
        <v>73</v>
      </c>
      <c r="B74" s="3" t="inlineStr">
        <is>
          <t>Critical</t>
        </is>
      </c>
      <c r="C74" t="inlineStr">
        <is>
          <t>Certification roll-out for Education</t>
        </is>
      </c>
      <c r="D74" t="inlineStr">
        <is>
          <t>Education</t>
        </is>
      </c>
      <c r="E74" t="inlineStr">
        <is>
          <t>Higher Education</t>
        </is>
      </c>
      <c r="F74" t="inlineStr">
        <is>
          <t>Kanpur</t>
        </is>
      </c>
      <c r="G74" t="inlineStr">
        <is>
          <t>2026-2028</t>
        </is>
      </c>
      <c r="H74" t="inlineStr">
        <is>
          <t>Fast-track Hiring</t>
        </is>
      </c>
      <c r="I74" t="inlineStr">
        <is>
          <t>Proposed</t>
        </is>
      </c>
      <c r="J74" t="n">
        <v>12455</v>
      </c>
      <c r="K74" t="n">
        <v>8086</v>
      </c>
      <c r="L74" t="n">
        <v>4369</v>
      </c>
      <c r="M74" t="n">
        <v>35.1</v>
      </c>
      <c r="N74" t="n">
        <v>45.08</v>
      </c>
      <c r="O74" t="n">
        <v>24</v>
      </c>
      <c r="P74" t="n">
        <v>2026</v>
      </c>
      <c r="Q74" t="n">
        <v>12</v>
      </c>
      <c r="R74" t="n">
        <v>75</v>
      </c>
      <c r="S74" t="n">
        <v>97</v>
      </c>
    </row>
    <row r="75">
      <c r="A75" t="n">
        <v>74</v>
      </c>
      <c r="B75" s="2" t="inlineStr">
        <is>
          <t>Medium</t>
        </is>
      </c>
      <c r="C75" t="inlineStr">
        <is>
          <t>Fast-track recruitment for Power &amp; Energy</t>
        </is>
      </c>
      <c r="D75" t="inlineStr">
        <is>
          <t>Power &amp; Energy</t>
        </is>
      </c>
      <c r="E75" t="inlineStr">
        <is>
          <t>Energy Dept</t>
        </is>
      </c>
      <c r="F75" t="inlineStr">
        <is>
          <t>Jhansi</t>
        </is>
      </c>
      <c r="G75" t="inlineStr">
        <is>
          <t>2027-2030</t>
        </is>
      </c>
      <c r="H75" t="inlineStr">
        <is>
          <t>University Tie-up</t>
        </is>
      </c>
      <c r="I75" t="inlineStr">
        <is>
          <t>Approved</t>
        </is>
      </c>
      <c r="J75" t="n">
        <v>8920</v>
      </c>
      <c r="K75" t="n">
        <v>7006</v>
      </c>
      <c r="L75" t="n">
        <v>1914</v>
      </c>
      <c r="M75" t="n">
        <v>21.5</v>
      </c>
      <c r="N75" t="n">
        <v>453.32</v>
      </c>
      <c r="O75" t="n">
        <v>24</v>
      </c>
      <c r="P75" t="n">
        <v>2026</v>
      </c>
      <c r="Q75" t="n">
        <v>5</v>
      </c>
      <c r="R75" t="n">
        <v>76</v>
      </c>
      <c r="S75" t="n">
        <v>57</v>
      </c>
    </row>
    <row r="76">
      <c r="A76" t="n">
        <v>75</v>
      </c>
      <c r="B76" s="5" t="inlineStr">
        <is>
          <t>Low</t>
        </is>
      </c>
      <c r="C76" t="inlineStr">
        <is>
          <t>Education cadre restructuring</t>
        </is>
      </c>
      <c r="D76" t="inlineStr">
        <is>
          <t>Education</t>
        </is>
      </c>
      <c r="E76" t="inlineStr">
        <is>
          <t>Basic Education</t>
        </is>
      </c>
      <c r="F76" t="inlineStr">
        <is>
          <t>Ayodhya</t>
        </is>
      </c>
      <c r="G76" t="inlineStr">
        <is>
          <t>2027-2030</t>
        </is>
      </c>
      <c r="H76" t="inlineStr">
        <is>
          <t>PPP Partnership</t>
        </is>
      </c>
      <c r="I76" t="inlineStr">
        <is>
          <t>Proposed</t>
        </is>
      </c>
      <c r="J76" t="n">
        <v>956</v>
      </c>
      <c r="K76" t="n">
        <v>285</v>
      </c>
      <c r="L76" t="n">
        <v>671</v>
      </c>
      <c r="M76" t="n">
        <v>70.2</v>
      </c>
      <c r="N76" t="n">
        <v>61.08</v>
      </c>
      <c r="O76" t="n">
        <v>29</v>
      </c>
      <c r="P76" t="n">
        <v>2028</v>
      </c>
      <c r="Q76" t="n">
        <v>17</v>
      </c>
      <c r="R76" t="n">
        <v>98</v>
      </c>
      <c r="S76" t="n">
        <v>97</v>
      </c>
    </row>
    <row r="77">
      <c r="A77" t="n">
        <v>76</v>
      </c>
      <c r="B77" s="2" t="inlineStr">
        <is>
          <t>Medium</t>
        </is>
      </c>
      <c r="C77" t="inlineStr">
        <is>
          <t>Scale Logistics &amp; Warehousing workforce pipeline</t>
        </is>
      </c>
      <c r="D77" t="inlineStr">
        <is>
          <t>Logistics &amp; Warehousing</t>
        </is>
      </c>
      <c r="E77" t="inlineStr">
        <is>
          <t>UPSIDA</t>
        </is>
      </c>
      <c r="F77" t="inlineStr">
        <is>
          <t>Jhansi</t>
        </is>
      </c>
      <c r="G77" t="inlineStr">
        <is>
          <t>2025-2026</t>
        </is>
      </c>
      <c r="H77" t="inlineStr">
        <is>
          <t>Centre of Excellence</t>
        </is>
      </c>
      <c r="I77" t="inlineStr">
        <is>
          <t>In Execution</t>
        </is>
      </c>
      <c r="J77" t="n">
        <v>20801</v>
      </c>
      <c r="K77" t="n">
        <v>15874</v>
      </c>
      <c r="L77" t="n">
        <v>4927</v>
      </c>
      <c r="M77" t="n">
        <v>23.7</v>
      </c>
      <c r="N77" t="n">
        <v>270.35</v>
      </c>
      <c r="O77" t="n">
        <v>45</v>
      </c>
      <c r="P77" t="n">
        <v>2025</v>
      </c>
      <c r="Q77" t="n">
        <v>41</v>
      </c>
      <c r="R77" t="n">
        <v>69</v>
      </c>
      <c r="S77" t="n">
        <v>91</v>
      </c>
    </row>
    <row r="78">
      <c r="A78" t="n">
        <v>77</v>
      </c>
      <c r="B78" s="2" t="inlineStr">
        <is>
          <t>Medium</t>
        </is>
      </c>
      <c r="C78" t="inlineStr">
        <is>
          <t>Establish Skill Development skilling hub</t>
        </is>
      </c>
      <c r="D78" t="inlineStr">
        <is>
          <t>Skill Development</t>
        </is>
      </c>
      <c r="E78" t="inlineStr">
        <is>
          <t>ITI Directorate</t>
        </is>
      </c>
      <c r="F78" t="inlineStr">
        <is>
          <t>Ghaziabad</t>
        </is>
      </c>
      <c r="G78" t="inlineStr">
        <is>
          <t>2025-2027</t>
        </is>
      </c>
      <c r="H78" t="inlineStr">
        <is>
          <t>Skilling</t>
        </is>
      </c>
      <c r="I78" t="inlineStr">
        <is>
          <t>Proposed</t>
        </is>
      </c>
      <c r="J78" t="n">
        <v>16642</v>
      </c>
      <c r="K78" t="n">
        <v>3113</v>
      </c>
      <c r="L78" t="n">
        <v>13529</v>
      </c>
      <c r="M78" t="n">
        <v>81.3</v>
      </c>
      <c r="N78" t="n">
        <v>114.23</v>
      </c>
      <c r="O78" t="n">
        <v>40</v>
      </c>
      <c r="P78" t="n">
        <v>2026</v>
      </c>
      <c r="Q78" t="n">
        <v>24</v>
      </c>
      <c r="R78" t="n">
        <v>63</v>
      </c>
      <c r="S78" t="n">
        <v>74</v>
      </c>
    </row>
    <row r="79">
      <c r="A79" t="n">
        <v>78</v>
      </c>
      <c r="B79" s="2" t="inlineStr">
        <is>
          <t>Medium</t>
        </is>
      </c>
      <c r="C79" t="inlineStr">
        <is>
          <t>Certification roll-out for Pharma &amp; Biotech</t>
        </is>
      </c>
      <c r="D79" t="inlineStr">
        <is>
          <t>Pharma &amp; Biotech</t>
        </is>
      </c>
      <c r="E79" t="inlineStr">
        <is>
          <t>Medical Education</t>
        </is>
      </c>
      <c r="F79" t="inlineStr">
        <is>
          <t>Varanasi</t>
        </is>
      </c>
      <c r="G79" t="inlineStr">
        <is>
          <t>2026-2030</t>
        </is>
      </c>
      <c r="H79" t="inlineStr">
        <is>
          <t>Recruitment</t>
        </is>
      </c>
      <c r="I79" t="inlineStr">
        <is>
          <t>In Execution</t>
        </is>
      </c>
      <c r="J79" t="n">
        <v>13873</v>
      </c>
      <c r="K79" t="n">
        <v>11157</v>
      </c>
      <c r="L79" t="n">
        <v>2716</v>
      </c>
      <c r="M79" t="n">
        <v>19.6</v>
      </c>
      <c r="N79" t="n">
        <v>135.72</v>
      </c>
      <c r="O79" t="n">
        <v>29</v>
      </c>
      <c r="P79" t="n">
        <v>2026</v>
      </c>
      <c r="Q79" t="n">
        <v>16</v>
      </c>
      <c r="R79" t="n">
        <v>68</v>
      </c>
      <c r="S79" t="n">
        <v>78</v>
      </c>
    </row>
    <row r="80">
      <c r="A80" t="n">
        <v>79</v>
      </c>
      <c r="B80" s="5" t="inlineStr">
        <is>
          <t>Low</t>
        </is>
      </c>
      <c r="C80" t="inlineStr">
        <is>
          <t>Public Works cadre restructuring</t>
        </is>
      </c>
      <c r="D80" t="inlineStr">
        <is>
          <t>Public Works</t>
        </is>
      </c>
      <c r="E80" t="inlineStr">
        <is>
          <t>PWD</t>
        </is>
      </c>
      <c r="F80" t="inlineStr">
        <is>
          <t>Jhansi</t>
        </is>
      </c>
      <c r="G80" t="inlineStr">
        <is>
          <t>2027-2030</t>
        </is>
      </c>
      <c r="H80" t="inlineStr">
        <is>
          <t>PPP Partnership</t>
        </is>
      </c>
      <c r="I80" t="inlineStr">
        <is>
          <t>Proposed</t>
        </is>
      </c>
      <c r="J80" t="n">
        <v>9540</v>
      </c>
      <c r="K80" t="n">
        <v>2312</v>
      </c>
      <c r="L80" t="n">
        <v>7228</v>
      </c>
      <c r="M80" t="n">
        <v>75.8</v>
      </c>
      <c r="N80" t="n">
        <v>60.39</v>
      </c>
      <c r="O80" t="n">
        <v>35</v>
      </c>
      <c r="P80" t="n">
        <v>2025</v>
      </c>
      <c r="Q80" t="n">
        <v>42</v>
      </c>
      <c r="R80" t="n">
        <v>60</v>
      </c>
      <c r="S80" t="n">
        <v>92</v>
      </c>
    </row>
    <row r="81">
      <c r="A81" t="n">
        <v>80</v>
      </c>
      <c r="B81" s="3" t="inlineStr">
        <is>
          <t>Critical</t>
        </is>
      </c>
      <c r="C81" t="inlineStr">
        <is>
          <t>ITI conversion to Textile &amp; Apparel curriculum</t>
        </is>
      </c>
      <c r="D81" t="inlineStr">
        <is>
          <t>Textile &amp; Apparel</t>
        </is>
      </c>
      <c r="E81" t="inlineStr">
        <is>
          <t>Handloom &amp; Textiles Dept</t>
        </is>
      </c>
      <c r="F81" t="inlineStr">
        <is>
          <t>Aligarh</t>
        </is>
      </c>
      <c r="G81" t="inlineStr">
        <is>
          <t>2025-2027</t>
        </is>
      </c>
      <c r="H81" t="inlineStr">
        <is>
          <t>Curriculum Reform</t>
        </is>
      </c>
      <c r="I81" t="inlineStr">
        <is>
          <t>Pending Funding</t>
        </is>
      </c>
      <c r="J81" t="n">
        <v>2748</v>
      </c>
      <c r="K81" t="n">
        <v>1985</v>
      </c>
      <c r="L81" t="n">
        <v>763</v>
      </c>
      <c r="M81" t="n">
        <v>27.8</v>
      </c>
      <c r="N81" t="n">
        <v>266.91</v>
      </c>
      <c r="O81" t="n">
        <v>43</v>
      </c>
      <c r="P81" t="n">
        <v>2026</v>
      </c>
      <c r="Q81" t="n">
        <v>50</v>
      </c>
      <c r="R81" t="n">
        <v>68</v>
      </c>
      <c r="S81" t="n">
        <v>64</v>
      </c>
    </row>
    <row r="82">
      <c r="A82" t="n">
        <v>81</v>
      </c>
      <c r="B82" s="3" t="inlineStr">
        <is>
          <t>Critical</t>
        </is>
      </c>
      <c r="C82" t="inlineStr">
        <is>
          <t>Fast-track recruitment for Education</t>
        </is>
      </c>
      <c r="D82" t="inlineStr">
        <is>
          <t>Education</t>
        </is>
      </c>
      <c r="E82" t="inlineStr">
        <is>
          <t>Higher Education</t>
        </is>
      </c>
      <c r="F82" t="inlineStr">
        <is>
          <t>Varanasi</t>
        </is>
      </c>
      <c r="G82" t="inlineStr">
        <is>
          <t>2025-2027</t>
        </is>
      </c>
      <c r="H82" t="inlineStr">
        <is>
          <t>University Tie-up</t>
        </is>
      </c>
      <c r="I82" t="inlineStr">
        <is>
          <t>Approved</t>
        </is>
      </c>
      <c r="J82" t="n">
        <v>4102</v>
      </c>
      <c r="K82" t="n">
        <v>2443</v>
      </c>
      <c r="L82" t="n">
        <v>1659</v>
      </c>
      <c r="M82" t="n">
        <v>40.4</v>
      </c>
      <c r="N82" t="n">
        <v>14.32</v>
      </c>
      <c r="O82" t="n">
        <v>6</v>
      </c>
      <c r="P82" t="n">
        <v>2025</v>
      </c>
      <c r="Q82" t="n">
        <v>38</v>
      </c>
      <c r="R82" t="n">
        <v>77</v>
      </c>
      <c r="S82" t="n">
        <v>100</v>
      </c>
    </row>
    <row r="83">
      <c r="A83" t="n">
        <v>82</v>
      </c>
      <c r="B83" s="4" t="inlineStr">
        <is>
          <t>High</t>
        </is>
      </c>
      <c r="C83" t="inlineStr">
        <is>
          <t>Launch Tourism &amp; Hospitality Centre of Excellence</t>
        </is>
      </c>
      <c r="D83" t="inlineStr">
        <is>
          <t>Tourism &amp; Hospitality</t>
        </is>
      </c>
      <c r="E83" t="inlineStr">
        <is>
          <t>Tourism Dept</t>
        </is>
      </c>
      <c r="F83" t="inlineStr">
        <is>
          <t>Kanpur</t>
        </is>
      </c>
      <c r="G83" t="inlineStr">
        <is>
          <t>2025-2027</t>
        </is>
      </c>
      <c r="H83" t="inlineStr">
        <is>
          <t>Apprenticeship</t>
        </is>
      </c>
      <c r="I83" t="inlineStr">
        <is>
          <t>Pending Funding</t>
        </is>
      </c>
      <c r="J83" t="n">
        <v>24933</v>
      </c>
      <c r="K83" t="n">
        <v>3681</v>
      </c>
      <c r="L83" t="n">
        <v>21252</v>
      </c>
      <c r="M83" t="n">
        <v>85.2</v>
      </c>
      <c r="N83" t="n">
        <v>216.28</v>
      </c>
      <c r="O83" t="n">
        <v>29</v>
      </c>
      <c r="P83" t="n">
        <v>2025</v>
      </c>
      <c r="Q83" t="n">
        <v>29</v>
      </c>
      <c r="R83" t="n">
        <v>87</v>
      </c>
      <c r="S83" t="n">
        <v>87</v>
      </c>
    </row>
    <row r="84">
      <c r="A84" t="n">
        <v>83</v>
      </c>
      <c r="B84" s="5" t="inlineStr">
        <is>
          <t>Low</t>
        </is>
      </c>
      <c r="C84" t="inlineStr">
        <is>
          <t>Expand AI &amp; Data Centres training capacity</t>
        </is>
      </c>
      <c r="D84" t="inlineStr">
        <is>
          <t>AI &amp; Data Centres</t>
        </is>
      </c>
      <c r="E84" t="inlineStr">
        <is>
          <t>IT &amp; Electronics Dept</t>
        </is>
      </c>
      <c r="F84" t="inlineStr">
        <is>
          <t>Kanpur</t>
        </is>
      </c>
      <c r="G84" t="inlineStr">
        <is>
          <t>2028-2030</t>
        </is>
      </c>
      <c r="H84" t="inlineStr">
        <is>
          <t>University Tie-up</t>
        </is>
      </c>
      <c r="I84" t="inlineStr">
        <is>
          <t>Approved</t>
        </is>
      </c>
      <c r="J84" t="n">
        <v>21580</v>
      </c>
      <c r="K84" t="n">
        <v>17760</v>
      </c>
      <c r="L84" t="n">
        <v>3820</v>
      </c>
      <c r="M84" t="n">
        <v>17.7</v>
      </c>
      <c r="N84" t="n">
        <v>31.07</v>
      </c>
      <c r="O84" t="n">
        <v>36</v>
      </c>
      <c r="P84" t="n">
        <v>2028</v>
      </c>
      <c r="Q84" t="n">
        <v>7</v>
      </c>
      <c r="R84" t="n">
        <v>80</v>
      </c>
      <c r="S84" t="n">
        <v>77</v>
      </c>
    </row>
    <row r="85">
      <c r="A85" t="n">
        <v>84</v>
      </c>
      <c r="B85" s="3" t="inlineStr">
        <is>
          <t>Critical</t>
        </is>
      </c>
      <c r="C85" t="inlineStr">
        <is>
          <t>Launch EV &amp; Mobility Centre of Excellence</t>
        </is>
      </c>
      <c r="D85" t="inlineStr">
        <is>
          <t>EV &amp; Mobility</t>
        </is>
      </c>
      <c r="E85" t="inlineStr">
        <is>
          <t>Industries Dept</t>
        </is>
      </c>
      <c r="F85" t="inlineStr">
        <is>
          <t>Noida</t>
        </is>
      </c>
      <c r="G85" t="inlineStr">
        <is>
          <t>2026-2028</t>
        </is>
      </c>
      <c r="H85" t="inlineStr">
        <is>
          <t>Certification Program</t>
        </is>
      </c>
      <c r="I85" t="inlineStr">
        <is>
          <t>Under Review</t>
        </is>
      </c>
      <c r="J85" t="n">
        <v>4635</v>
      </c>
      <c r="K85" t="n">
        <v>1419</v>
      </c>
      <c r="L85" t="n">
        <v>3216</v>
      </c>
      <c r="M85" t="n">
        <v>69.40000000000001</v>
      </c>
      <c r="N85" t="n">
        <v>304.61</v>
      </c>
      <c r="O85" t="n">
        <v>41</v>
      </c>
      <c r="P85" t="n">
        <v>2027</v>
      </c>
      <c r="Q85" t="n">
        <v>34</v>
      </c>
      <c r="R85" t="n">
        <v>75</v>
      </c>
      <c r="S85" t="n">
        <v>74</v>
      </c>
    </row>
    <row r="86">
      <c r="A86" t="n">
        <v>85</v>
      </c>
      <c r="B86" s="2" t="inlineStr">
        <is>
          <t>Medium</t>
        </is>
      </c>
      <c r="C86" t="inlineStr">
        <is>
          <t>Reskilling drive for Agriculture &amp; Food Processing</t>
        </is>
      </c>
      <c r="D86" t="inlineStr">
        <is>
          <t>Agriculture &amp; Food Processing</t>
        </is>
      </c>
      <c r="E86" t="inlineStr">
        <is>
          <t>Mandi Parishad</t>
        </is>
      </c>
      <c r="F86" t="inlineStr">
        <is>
          <t>Mathura</t>
        </is>
      </c>
      <c r="G86" t="inlineStr">
        <is>
          <t>2025-2026</t>
        </is>
      </c>
      <c r="H86" t="inlineStr">
        <is>
          <t>Recruitment</t>
        </is>
      </c>
      <c r="I86" t="inlineStr">
        <is>
          <t>Pending Funding</t>
        </is>
      </c>
      <c r="J86" t="n">
        <v>7545</v>
      </c>
      <c r="K86" t="n">
        <v>3188</v>
      </c>
      <c r="L86" t="n">
        <v>4357</v>
      </c>
      <c r="M86" t="n">
        <v>57.7</v>
      </c>
      <c r="N86" t="n">
        <v>426.51</v>
      </c>
      <c r="O86" t="n">
        <v>32</v>
      </c>
      <c r="P86" t="n">
        <v>2026</v>
      </c>
      <c r="Q86" t="n">
        <v>27</v>
      </c>
      <c r="R86" t="n">
        <v>76</v>
      </c>
      <c r="S86" t="n">
        <v>79</v>
      </c>
    </row>
    <row r="87">
      <c r="A87" t="n">
        <v>86</v>
      </c>
      <c r="B87" s="4" t="inlineStr">
        <is>
          <t>High</t>
        </is>
      </c>
      <c r="C87" t="inlineStr">
        <is>
          <t>Launch Health Centre of Excellence</t>
        </is>
      </c>
      <c r="D87" t="inlineStr">
        <is>
          <t>Health</t>
        </is>
      </c>
      <c r="E87" t="inlineStr">
        <is>
          <t>Medical Education</t>
        </is>
      </c>
      <c r="F87" t="inlineStr">
        <is>
          <t>Bareilly</t>
        </is>
      </c>
      <c r="G87" t="inlineStr">
        <is>
          <t>2026-2028</t>
        </is>
      </c>
      <c r="H87" t="inlineStr">
        <is>
          <t>Curriculum Reform</t>
        </is>
      </c>
      <c r="I87" t="inlineStr">
        <is>
          <t>In Execution</t>
        </is>
      </c>
      <c r="J87" t="n">
        <v>3489</v>
      </c>
      <c r="K87" t="n">
        <v>2525</v>
      </c>
      <c r="L87" t="n">
        <v>964</v>
      </c>
      <c r="M87" t="n">
        <v>27.6</v>
      </c>
      <c r="N87" t="n">
        <v>46.56</v>
      </c>
      <c r="O87" t="n">
        <v>12</v>
      </c>
      <c r="P87" t="n">
        <v>2027</v>
      </c>
      <c r="Q87" t="n">
        <v>4</v>
      </c>
      <c r="R87" t="n">
        <v>78</v>
      </c>
      <c r="S87" t="n">
        <v>58</v>
      </c>
    </row>
    <row r="88">
      <c r="A88" t="n">
        <v>87</v>
      </c>
      <c r="B88" s="2" t="inlineStr">
        <is>
          <t>Medium</t>
        </is>
      </c>
      <c r="C88" t="inlineStr">
        <is>
          <t>Establish Logistics &amp; Warehousing skilling hub</t>
        </is>
      </c>
      <c r="D88" t="inlineStr">
        <is>
          <t>Logistics &amp; Warehousing</t>
        </is>
      </c>
      <c r="E88" t="inlineStr">
        <is>
          <t>UPSIDA</t>
        </is>
      </c>
      <c r="F88" t="inlineStr">
        <is>
          <t>Mathura</t>
        </is>
      </c>
      <c r="G88" t="inlineStr">
        <is>
          <t>2026-2028</t>
        </is>
      </c>
      <c r="H88" t="inlineStr">
        <is>
          <t>Apprenticeship</t>
        </is>
      </c>
      <c r="I88" t="inlineStr">
        <is>
          <t>Proposed</t>
        </is>
      </c>
      <c r="J88" t="n">
        <v>20174</v>
      </c>
      <c r="K88" t="n">
        <v>6744</v>
      </c>
      <c r="L88" t="n">
        <v>13430</v>
      </c>
      <c r="M88" t="n">
        <v>66.59999999999999</v>
      </c>
      <c r="N88" t="n">
        <v>51.52</v>
      </c>
      <c r="O88" t="n">
        <v>38</v>
      </c>
      <c r="P88" t="n">
        <v>2028</v>
      </c>
      <c r="Q88" t="n">
        <v>31</v>
      </c>
      <c r="R88" t="n">
        <v>68</v>
      </c>
      <c r="S88" t="n">
        <v>59</v>
      </c>
    </row>
    <row r="89">
      <c r="A89" t="n">
        <v>88</v>
      </c>
      <c r="B89" s="4" t="inlineStr">
        <is>
          <t>High</t>
        </is>
      </c>
      <c r="C89" t="inlineStr">
        <is>
          <t>ITI conversion to Defence curriculum</t>
        </is>
      </c>
      <c r="D89" t="inlineStr">
        <is>
          <t>Defence</t>
        </is>
      </c>
      <c r="E89" t="inlineStr">
        <is>
          <t>UP Defence Corridor Authority</t>
        </is>
      </c>
      <c r="F89" t="inlineStr">
        <is>
          <t>Jhansi</t>
        </is>
      </c>
      <c r="G89" t="inlineStr">
        <is>
          <t>2025-2026</t>
        </is>
      </c>
      <c r="H89" t="inlineStr">
        <is>
          <t>ITI Conversion</t>
        </is>
      </c>
      <c r="I89" t="inlineStr">
        <is>
          <t>Pending Funding</t>
        </is>
      </c>
      <c r="J89" t="n">
        <v>14561</v>
      </c>
      <c r="K89" t="n">
        <v>10685</v>
      </c>
      <c r="L89" t="n">
        <v>3876</v>
      </c>
      <c r="M89" t="n">
        <v>26.6</v>
      </c>
      <c r="N89" t="n">
        <v>467.83</v>
      </c>
      <c r="O89" t="n">
        <v>45</v>
      </c>
      <c r="P89" t="n">
        <v>2028</v>
      </c>
      <c r="Q89" t="n">
        <v>36</v>
      </c>
      <c r="R89" t="n">
        <v>94</v>
      </c>
      <c r="S89" t="n">
        <v>93</v>
      </c>
    </row>
    <row r="90">
      <c r="A90" t="n">
        <v>89</v>
      </c>
      <c r="B90" s="5" t="inlineStr">
        <is>
          <t>Low</t>
        </is>
      </c>
      <c r="C90" t="inlineStr">
        <is>
          <t>Reskilling drive for IT &amp; Electronics</t>
        </is>
      </c>
      <c r="D90" t="inlineStr">
        <is>
          <t>IT &amp; Electronics</t>
        </is>
      </c>
      <c r="E90" t="inlineStr">
        <is>
          <t>UPLC</t>
        </is>
      </c>
      <c r="F90" t="inlineStr">
        <is>
          <t>Bareilly</t>
        </is>
      </c>
      <c r="G90" t="inlineStr">
        <is>
          <t>2025-2026</t>
        </is>
      </c>
      <c r="H90" t="inlineStr">
        <is>
          <t>Curriculum Reform</t>
        </is>
      </c>
      <c r="I90" t="inlineStr">
        <is>
          <t>Approved</t>
        </is>
      </c>
      <c r="J90" t="n">
        <v>10624</v>
      </c>
      <c r="K90" t="n">
        <v>8405</v>
      </c>
      <c r="L90" t="n">
        <v>2219</v>
      </c>
      <c r="M90" t="n">
        <v>20.9</v>
      </c>
      <c r="N90" t="n">
        <v>169.79</v>
      </c>
      <c r="O90" t="n">
        <v>17</v>
      </c>
      <c r="P90" t="n">
        <v>2028</v>
      </c>
      <c r="Q90" t="n">
        <v>26</v>
      </c>
      <c r="R90" t="n">
        <v>64</v>
      </c>
      <c r="S90" t="n">
        <v>86</v>
      </c>
    </row>
    <row r="91">
      <c r="A91" t="n">
        <v>90</v>
      </c>
      <c r="B91" s="2" t="inlineStr">
        <is>
          <t>Medium</t>
        </is>
      </c>
      <c r="C91" t="inlineStr">
        <is>
          <t>Manufacturing cadre restructuring</t>
        </is>
      </c>
      <c r="D91" t="inlineStr">
        <is>
          <t>Manufacturing</t>
        </is>
      </c>
      <c r="E91" t="inlineStr">
        <is>
          <t>Industries Dept</t>
        </is>
      </c>
      <c r="F91" t="inlineStr">
        <is>
          <t>Lucknow</t>
        </is>
      </c>
      <c r="G91" t="inlineStr">
        <is>
          <t>2025-2026</t>
        </is>
      </c>
      <c r="H91" t="inlineStr">
        <is>
          <t>University Tie-up</t>
        </is>
      </c>
      <c r="I91" t="inlineStr">
        <is>
          <t>Under Review</t>
        </is>
      </c>
      <c r="J91" t="n">
        <v>14257</v>
      </c>
      <c r="K91" t="n">
        <v>6276</v>
      </c>
      <c r="L91" t="n">
        <v>7981</v>
      </c>
      <c r="M91" t="n">
        <v>56</v>
      </c>
      <c r="N91" t="n">
        <v>77.23999999999999</v>
      </c>
      <c r="O91" t="n">
        <v>25</v>
      </c>
      <c r="P91" t="n">
        <v>2027</v>
      </c>
      <c r="Q91" t="n">
        <v>39</v>
      </c>
      <c r="R91" t="n">
        <v>75</v>
      </c>
      <c r="S91" t="n">
        <v>99</v>
      </c>
    </row>
    <row r="92">
      <c r="A92" t="n">
        <v>91</v>
      </c>
      <c r="B92" s="4" t="inlineStr">
        <is>
          <t>High</t>
        </is>
      </c>
      <c r="C92" t="inlineStr">
        <is>
          <t>Expand Manufacturing training capacity</t>
        </is>
      </c>
      <c r="D92" t="inlineStr">
        <is>
          <t>Manufacturing</t>
        </is>
      </c>
      <c r="E92" t="inlineStr">
        <is>
          <t>Industries Dept</t>
        </is>
      </c>
      <c r="F92" t="inlineStr">
        <is>
          <t>Kanpur</t>
        </is>
      </c>
      <c r="G92" t="inlineStr">
        <is>
          <t>2028-2030</t>
        </is>
      </c>
      <c r="H92" t="inlineStr">
        <is>
          <t>Recruitment</t>
        </is>
      </c>
      <c r="I92" t="inlineStr">
        <is>
          <t>Approved</t>
        </is>
      </c>
      <c r="J92" t="n">
        <v>22190</v>
      </c>
      <c r="K92" t="n">
        <v>9275</v>
      </c>
      <c r="L92" t="n">
        <v>12915</v>
      </c>
      <c r="M92" t="n">
        <v>58.2</v>
      </c>
      <c r="N92" t="n">
        <v>292.18</v>
      </c>
      <c r="O92" t="n">
        <v>32</v>
      </c>
      <c r="P92" t="n">
        <v>2027</v>
      </c>
      <c r="Q92" t="n">
        <v>8</v>
      </c>
      <c r="R92" t="n">
        <v>72</v>
      </c>
      <c r="S92" t="n">
        <v>63</v>
      </c>
    </row>
    <row r="93">
      <c r="A93" t="n">
        <v>92</v>
      </c>
      <c r="B93" s="3" t="inlineStr">
        <is>
          <t>Critical</t>
        </is>
      </c>
      <c r="C93" t="inlineStr">
        <is>
          <t>ITI conversion to Public Works curriculum</t>
        </is>
      </c>
      <c r="D93" t="inlineStr">
        <is>
          <t>Public Works</t>
        </is>
      </c>
      <c r="E93" t="inlineStr">
        <is>
          <t>UPRNN</t>
        </is>
      </c>
      <c r="F93" t="inlineStr">
        <is>
          <t>Saharanpur</t>
        </is>
      </c>
      <c r="G93" t="inlineStr">
        <is>
          <t>2027-2030</t>
        </is>
      </c>
      <c r="H93" t="inlineStr">
        <is>
          <t>ITI Conversion</t>
        </is>
      </c>
      <c r="I93" t="inlineStr">
        <is>
          <t>Proposed</t>
        </is>
      </c>
      <c r="J93" t="n">
        <v>13451</v>
      </c>
      <c r="K93" t="n">
        <v>11276</v>
      </c>
      <c r="L93" t="n">
        <v>2175</v>
      </c>
      <c r="M93" t="n">
        <v>16.2</v>
      </c>
      <c r="N93" t="n">
        <v>28.19</v>
      </c>
      <c r="O93" t="n">
        <v>19</v>
      </c>
      <c r="P93" t="n">
        <v>2025</v>
      </c>
      <c r="Q93" t="n">
        <v>49</v>
      </c>
      <c r="R93" t="n">
        <v>74</v>
      </c>
      <c r="S93" t="n">
        <v>63</v>
      </c>
    </row>
    <row r="94">
      <c r="A94" t="n">
        <v>93</v>
      </c>
      <c r="B94" s="4" t="inlineStr">
        <is>
          <t>High</t>
        </is>
      </c>
      <c r="C94" t="inlineStr">
        <is>
          <t>Fast-track recruitment for Urban Development</t>
        </is>
      </c>
      <c r="D94" t="inlineStr">
        <is>
          <t>Urban Development</t>
        </is>
      </c>
      <c r="E94" t="inlineStr">
        <is>
          <t>Housing Board</t>
        </is>
      </c>
      <c r="F94" t="inlineStr">
        <is>
          <t>Lucknow</t>
        </is>
      </c>
      <c r="G94" t="inlineStr">
        <is>
          <t>2026-2030</t>
        </is>
      </c>
      <c r="H94" t="inlineStr">
        <is>
          <t>Apprenticeship</t>
        </is>
      </c>
      <c r="I94" t="inlineStr">
        <is>
          <t>Under Review</t>
        </is>
      </c>
      <c r="J94" t="n">
        <v>12958</v>
      </c>
      <c r="K94" t="n">
        <v>6471</v>
      </c>
      <c r="L94" t="n">
        <v>6487</v>
      </c>
      <c r="M94" t="n">
        <v>50.1</v>
      </c>
      <c r="N94" t="n">
        <v>111.99</v>
      </c>
      <c r="O94" t="n">
        <v>41</v>
      </c>
      <c r="P94" t="n">
        <v>2025</v>
      </c>
      <c r="Q94" t="n">
        <v>26</v>
      </c>
      <c r="R94" t="n">
        <v>97</v>
      </c>
      <c r="S94" t="n">
        <v>72</v>
      </c>
    </row>
    <row r="95">
      <c r="A95" t="n">
        <v>94</v>
      </c>
      <c r="B95" s="3" t="inlineStr">
        <is>
          <t>Critical</t>
        </is>
      </c>
      <c r="C95" t="inlineStr">
        <is>
          <t>Certification roll-out for Civil Aviation</t>
        </is>
      </c>
      <c r="D95" t="inlineStr">
        <is>
          <t>Civil Aviation</t>
        </is>
      </c>
      <c r="E95" t="inlineStr">
        <is>
          <t>UP Airport Authority</t>
        </is>
      </c>
      <c r="F95" t="inlineStr">
        <is>
          <t>Noida</t>
        </is>
      </c>
      <c r="G95" t="inlineStr">
        <is>
          <t>2026-2028</t>
        </is>
      </c>
      <c r="H95" t="inlineStr">
        <is>
          <t>Certification Program</t>
        </is>
      </c>
      <c r="I95" t="inlineStr">
        <is>
          <t>In Execution</t>
        </is>
      </c>
      <c r="J95" t="n">
        <v>13752</v>
      </c>
      <c r="K95" t="n">
        <v>8692</v>
      </c>
      <c r="L95" t="n">
        <v>5060</v>
      </c>
      <c r="M95" t="n">
        <v>36.8</v>
      </c>
      <c r="N95" t="n">
        <v>201.66</v>
      </c>
      <c r="O95" t="n">
        <v>13</v>
      </c>
      <c r="P95" t="n">
        <v>2026</v>
      </c>
      <c r="Q95" t="n">
        <v>11</v>
      </c>
      <c r="R95" t="n">
        <v>80</v>
      </c>
      <c r="S95" t="n">
        <v>51</v>
      </c>
    </row>
    <row r="96">
      <c r="A96" t="n">
        <v>95</v>
      </c>
      <c r="B96" s="2" t="inlineStr">
        <is>
          <t>Medium</t>
        </is>
      </c>
      <c r="C96" t="inlineStr">
        <is>
          <t>ITI conversion to Textile &amp; Apparel curriculum</t>
        </is>
      </c>
      <c r="D96" t="inlineStr">
        <is>
          <t>Textile &amp; Apparel</t>
        </is>
      </c>
      <c r="E96" t="inlineStr">
        <is>
          <t>Handloom &amp; Textiles Dept</t>
        </is>
      </c>
      <c r="F96" t="inlineStr">
        <is>
          <t>Jhansi</t>
        </is>
      </c>
      <c r="G96" t="inlineStr">
        <is>
          <t>2025-2026</t>
        </is>
      </c>
      <c r="H96" t="inlineStr">
        <is>
          <t>Apprenticeship</t>
        </is>
      </c>
      <c r="I96" t="inlineStr">
        <is>
          <t>Proposed</t>
        </is>
      </c>
      <c r="J96" t="n">
        <v>14776</v>
      </c>
      <c r="K96" t="n">
        <v>8003</v>
      </c>
      <c r="L96" t="n">
        <v>6773</v>
      </c>
      <c r="M96" t="n">
        <v>45.8</v>
      </c>
      <c r="N96" t="n">
        <v>252.45</v>
      </c>
      <c r="O96" t="n">
        <v>31</v>
      </c>
      <c r="P96" t="n">
        <v>2026</v>
      </c>
      <c r="Q96" t="n">
        <v>15</v>
      </c>
      <c r="R96" t="n">
        <v>74</v>
      </c>
      <c r="S96" t="n">
        <v>97</v>
      </c>
    </row>
    <row r="97">
      <c r="A97" t="n">
        <v>96</v>
      </c>
      <c r="B97" s="3" t="inlineStr">
        <is>
          <t>Critical</t>
        </is>
      </c>
      <c r="C97" t="inlineStr">
        <is>
          <t>PPP for Tourism &amp; Hospitality apprenticeships</t>
        </is>
      </c>
      <c r="D97" t="inlineStr">
        <is>
          <t>Tourism &amp; Hospitality</t>
        </is>
      </c>
      <c r="E97" t="inlineStr">
        <is>
          <t>Tourism Dept</t>
        </is>
      </c>
      <c r="F97" t="inlineStr">
        <is>
          <t>Ghaziabad</t>
        </is>
      </c>
      <c r="G97" t="inlineStr">
        <is>
          <t>2027-2030</t>
        </is>
      </c>
      <c r="H97" t="inlineStr">
        <is>
          <t>University Tie-up</t>
        </is>
      </c>
      <c r="I97" t="inlineStr">
        <is>
          <t>Under Review</t>
        </is>
      </c>
      <c r="J97" t="n">
        <v>12004</v>
      </c>
      <c r="K97" t="n">
        <v>7748</v>
      </c>
      <c r="L97" t="n">
        <v>4256</v>
      </c>
      <c r="M97" t="n">
        <v>35.5</v>
      </c>
      <c r="N97" t="n">
        <v>393.46</v>
      </c>
      <c r="O97" t="n">
        <v>15</v>
      </c>
      <c r="P97" t="n">
        <v>2025</v>
      </c>
      <c r="Q97" t="n">
        <v>17</v>
      </c>
      <c r="R97" t="n">
        <v>70</v>
      </c>
      <c r="S97" t="n">
        <v>56</v>
      </c>
    </row>
    <row r="98">
      <c r="A98" t="n">
        <v>97</v>
      </c>
      <c r="B98" s="2" t="inlineStr">
        <is>
          <t>Medium</t>
        </is>
      </c>
      <c r="C98" t="inlineStr">
        <is>
          <t>Certification roll-out for Power &amp; Energy</t>
        </is>
      </c>
      <c r="D98" t="inlineStr">
        <is>
          <t>Power &amp; Energy</t>
        </is>
      </c>
      <c r="E98" t="inlineStr">
        <is>
          <t>Energy Dept</t>
        </is>
      </c>
      <c r="F98" t="inlineStr">
        <is>
          <t>Noida</t>
        </is>
      </c>
      <c r="G98" t="inlineStr">
        <is>
          <t>2025-2027</t>
        </is>
      </c>
      <c r="H98" t="inlineStr">
        <is>
          <t>Fast-track Hiring</t>
        </is>
      </c>
      <c r="I98" t="inlineStr">
        <is>
          <t>In Execution</t>
        </is>
      </c>
      <c r="J98" t="n">
        <v>19488</v>
      </c>
      <c r="K98" t="n">
        <v>8509</v>
      </c>
      <c r="L98" t="n">
        <v>10979</v>
      </c>
      <c r="M98" t="n">
        <v>56.3</v>
      </c>
      <c r="N98" t="n">
        <v>443.75</v>
      </c>
      <c r="O98" t="n">
        <v>42</v>
      </c>
      <c r="P98" t="n">
        <v>2027</v>
      </c>
      <c r="Q98" t="n">
        <v>21</v>
      </c>
      <c r="R98" t="n">
        <v>96</v>
      </c>
      <c r="S98" t="n">
        <v>90</v>
      </c>
    </row>
    <row r="99">
      <c r="A99" t="n">
        <v>98</v>
      </c>
      <c r="B99" s="4" t="inlineStr">
        <is>
          <t>High</t>
        </is>
      </c>
      <c r="C99" t="inlineStr">
        <is>
          <t>Certification roll-out for Tourism &amp; Hospitality</t>
        </is>
      </c>
      <c r="D99" t="inlineStr">
        <is>
          <t>Tourism &amp; Hospitality</t>
        </is>
      </c>
      <c r="E99" t="inlineStr">
        <is>
          <t>Tourism Dept</t>
        </is>
      </c>
      <c r="F99" t="inlineStr">
        <is>
          <t>Saharanpur</t>
        </is>
      </c>
      <c r="G99" t="inlineStr">
        <is>
          <t>2026-2030</t>
        </is>
      </c>
      <c r="H99" t="inlineStr">
        <is>
          <t>ITI Conversion</t>
        </is>
      </c>
      <c r="I99" t="inlineStr">
        <is>
          <t>Approved</t>
        </is>
      </c>
      <c r="J99" t="n">
        <v>2340</v>
      </c>
      <c r="K99" t="n">
        <v>851</v>
      </c>
      <c r="L99" t="n">
        <v>1489</v>
      </c>
      <c r="M99" t="n">
        <v>63.6</v>
      </c>
      <c r="N99" t="n">
        <v>37.46</v>
      </c>
      <c r="O99" t="n">
        <v>35</v>
      </c>
      <c r="P99" t="n">
        <v>2025</v>
      </c>
      <c r="Q99" t="n">
        <v>24</v>
      </c>
      <c r="R99" t="n">
        <v>83</v>
      </c>
      <c r="S99" t="n">
        <v>52</v>
      </c>
    </row>
    <row r="100">
      <c r="A100" t="n">
        <v>99</v>
      </c>
      <c r="B100" s="2" t="inlineStr">
        <is>
          <t>Medium</t>
        </is>
      </c>
      <c r="C100" t="inlineStr">
        <is>
          <t>Agriculture &amp; Food Processing cadre restructuring</t>
        </is>
      </c>
      <c r="D100" t="inlineStr">
        <is>
          <t>Agriculture &amp; Food Processing</t>
        </is>
      </c>
      <c r="E100" t="inlineStr">
        <is>
          <t>Agriculture Dept</t>
        </is>
      </c>
      <c r="F100" t="inlineStr">
        <is>
          <t>Noida</t>
        </is>
      </c>
      <c r="G100" t="inlineStr">
        <is>
          <t>2027-2030</t>
        </is>
      </c>
      <c r="H100" t="inlineStr">
        <is>
          <t>Certification Program</t>
        </is>
      </c>
      <c r="I100" t="inlineStr">
        <is>
          <t>Pending Funding</t>
        </is>
      </c>
      <c r="J100" t="n">
        <v>15662</v>
      </c>
      <c r="K100" t="n">
        <v>8383</v>
      </c>
      <c r="L100" t="n">
        <v>7279</v>
      </c>
      <c r="M100" t="n">
        <v>46.5</v>
      </c>
      <c r="N100" t="n">
        <v>458.12</v>
      </c>
      <c r="O100" t="n">
        <v>8</v>
      </c>
      <c r="P100" t="n">
        <v>2028</v>
      </c>
      <c r="Q100" t="n">
        <v>13</v>
      </c>
      <c r="R100" t="n">
        <v>83</v>
      </c>
      <c r="S100" t="n">
        <v>86</v>
      </c>
    </row>
    <row r="101">
      <c r="A101" t="n">
        <v>100</v>
      </c>
      <c r="B101" s="2" t="inlineStr">
        <is>
          <t>Medium</t>
        </is>
      </c>
      <c r="C101" t="inlineStr">
        <is>
          <t>Reskilling drive for Tourism &amp; Hospitality</t>
        </is>
      </c>
      <c r="D101" t="inlineStr">
        <is>
          <t>Tourism &amp; Hospitality</t>
        </is>
      </c>
      <c r="E101" t="inlineStr">
        <is>
          <t>UP Tourism Corp</t>
        </is>
      </c>
      <c r="F101" t="inlineStr">
        <is>
          <t>Kanpur</t>
        </is>
      </c>
      <c r="G101" t="inlineStr">
        <is>
          <t>2026-2030</t>
        </is>
      </c>
      <c r="H101" t="inlineStr">
        <is>
          <t>Recruitment</t>
        </is>
      </c>
      <c r="I101" t="inlineStr">
        <is>
          <t>Approved</t>
        </is>
      </c>
      <c r="J101" t="n">
        <v>3263</v>
      </c>
      <c r="K101" t="n">
        <v>1561</v>
      </c>
      <c r="L101" t="n">
        <v>1702</v>
      </c>
      <c r="M101" t="n">
        <v>52.2</v>
      </c>
      <c r="N101" t="n">
        <v>84.48</v>
      </c>
      <c r="O101" t="n">
        <v>21</v>
      </c>
      <c r="P101" t="n">
        <v>2027</v>
      </c>
      <c r="Q101" t="n">
        <v>34</v>
      </c>
      <c r="R101" t="n">
        <v>83</v>
      </c>
      <c r="S101" t="n">
        <v>78</v>
      </c>
    </row>
    <row r="102">
      <c r="A102" t="n">
        <v>101</v>
      </c>
      <c r="B102" s="4" t="inlineStr">
        <is>
          <t>High</t>
        </is>
      </c>
      <c r="C102" t="inlineStr">
        <is>
          <t>Build Textile &amp; Apparel talent corridor</t>
        </is>
      </c>
      <c r="D102" t="inlineStr">
        <is>
          <t>Textile &amp; Apparel</t>
        </is>
      </c>
      <c r="E102" t="inlineStr">
        <is>
          <t>Handloom &amp; Textiles Dept</t>
        </is>
      </c>
      <c r="F102" t="inlineStr">
        <is>
          <t>Gorakhpur</t>
        </is>
      </c>
      <c r="G102" t="inlineStr">
        <is>
          <t>2026-2030</t>
        </is>
      </c>
      <c r="H102" t="inlineStr">
        <is>
          <t>Apprenticeship</t>
        </is>
      </c>
      <c r="I102" t="inlineStr">
        <is>
          <t>Approved</t>
        </is>
      </c>
      <c r="J102" t="n">
        <v>20091</v>
      </c>
      <c r="K102" t="n">
        <v>2798</v>
      </c>
      <c r="L102" t="n">
        <v>17293</v>
      </c>
      <c r="M102" t="n">
        <v>86.09999999999999</v>
      </c>
      <c r="N102" t="n">
        <v>303.56</v>
      </c>
      <c r="O102" t="n">
        <v>27</v>
      </c>
      <c r="P102" t="n">
        <v>2025</v>
      </c>
      <c r="Q102" t="n">
        <v>36</v>
      </c>
      <c r="R102" t="n">
        <v>59</v>
      </c>
      <c r="S102" t="n">
        <v>71</v>
      </c>
    </row>
    <row r="103">
      <c r="A103" t="n">
        <v>102</v>
      </c>
      <c r="B103" s="4" t="inlineStr">
        <is>
          <t>High</t>
        </is>
      </c>
      <c r="C103" t="inlineStr">
        <is>
          <t>Build Police &amp; Home talent corridor</t>
        </is>
      </c>
      <c r="D103" t="inlineStr">
        <is>
          <t>Police &amp; Home</t>
        </is>
      </c>
      <c r="E103" t="inlineStr">
        <is>
          <t>UP Police</t>
        </is>
      </c>
      <c r="F103" t="inlineStr">
        <is>
          <t>Varanasi</t>
        </is>
      </c>
      <c r="G103" t="inlineStr">
        <is>
          <t>2026-2028</t>
        </is>
      </c>
      <c r="H103" t="inlineStr">
        <is>
          <t>Recruitment</t>
        </is>
      </c>
      <c r="I103" t="inlineStr">
        <is>
          <t>Pending Funding</t>
        </is>
      </c>
      <c r="J103" t="n">
        <v>5134</v>
      </c>
      <c r="K103" t="n">
        <v>4043</v>
      </c>
      <c r="L103" t="n">
        <v>1091</v>
      </c>
      <c r="M103" t="n">
        <v>21.3</v>
      </c>
      <c r="N103" t="n">
        <v>150.29</v>
      </c>
      <c r="O103" t="n">
        <v>47</v>
      </c>
      <c r="P103" t="n">
        <v>2025</v>
      </c>
      <c r="Q103" t="n">
        <v>39</v>
      </c>
      <c r="R103" t="n">
        <v>97</v>
      </c>
      <c r="S103" t="n">
        <v>75</v>
      </c>
    </row>
    <row r="104">
      <c r="A104" t="n">
        <v>103</v>
      </c>
      <c r="B104" s="2" t="inlineStr">
        <is>
          <t>Medium</t>
        </is>
      </c>
      <c r="C104" t="inlineStr">
        <is>
          <t>Build Manufacturing talent corridor</t>
        </is>
      </c>
      <c r="D104" t="inlineStr">
        <is>
          <t>Manufacturing</t>
        </is>
      </c>
      <c r="E104" t="inlineStr">
        <is>
          <t>MSME Dept</t>
        </is>
      </c>
      <c r="F104" t="inlineStr">
        <is>
          <t>Aligarh</t>
        </is>
      </c>
      <c r="G104" t="inlineStr">
        <is>
          <t>2025-2027</t>
        </is>
      </c>
      <c r="H104" t="inlineStr">
        <is>
          <t>University Tie-up</t>
        </is>
      </c>
      <c r="I104" t="inlineStr">
        <is>
          <t>Proposed</t>
        </is>
      </c>
      <c r="J104" t="n">
        <v>22469</v>
      </c>
      <c r="K104" t="n">
        <v>9382</v>
      </c>
      <c r="L104" t="n">
        <v>13087</v>
      </c>
      <c r="M104" t="n">
        <v>58.2</v>
      </c>
      <c r="N104" t="n">
        <v>174.95</v>
      </c>
      <c r="O104" t="n">
        <v>29</v>
      </c>
      <c r="P104" t="n">
        <v>2025</v>
      </c>
      <c r="Q104" t="n">
        <v>22</v>
      </c>
      <c r="R104" t="n">
        <v>74</v>
      </c>
      <c r="S104" t="n">
        <v>61</v>
      </c>
    </row>
    <row r="105">
      <c r="A105" t="n">
        <v>104</v>
      </c>
      <c r="B105" s="4" t="inlineStr">
        <is>
          <t>High</t>
        </is>
      </c>
      <c r="C105" t="inlineStr">
        <is>
          <t>Launch EV &amp; Mobility Centre of Excellence</t>
        </is>
      </c>
      <c r="D105" t="inlineStr">
        <is>
          <t>EV &amp; Mobility</t>
        </is>
      </c>
      <c r="E105" t="inlineStr">
        <is>
          <t>Transport Dept</t>
        </is>
      </c>
      <c r="F105" t="inlineStr">
        <is>
          <t>Varanasi</t>
        </is>
      </c>
      <c r="G105" t="inlineStr">
        <is>
          <t>2025-2027</t>
        </is>
      </c>
      <c r="H105" t="inlineStr">
        <is>
          <t>Recruitment</t>
        </is>
      </c>
      <c r="I105" t="inlineStr">
        <is>
          <t>Approved</t>
        </is>
      </c>
      <c r="J105" t="n">
        <v>17135</v>
      </c>
      <c r="K105" t="n">
        <v>11620</v>
      </c>
      <c r="L105" t="n">
        <v>5515</v>
      </c>
      <c r="M105" t="n">
        <v>32.2</v>
      </c>
      <c r="N105" t="n">
        <v>401.19</v>
      </c>
      <c r="O105" t="n">
        <v>39</v>
      </c>
      <c r="P105" t="n">
        <v>2026</v>
      </c>
      <c r="Q105" t="n">
        <v>57</v>
      </c>
      <c r="R105" t="n">
        <v>57</v>
      </c>
      <c r="S105" t="n">
        <v>92</v>
      </c>
    </row>
    <row r="106">
      <c r="A106" t="n">
        <v>105</v>
      </c>
      <c r="B106" s="2" t="inlineStr">
        <is>
          <t>Medium</t>
        </is>
      </c>
      <c r="C106" t="inlineStr">
        <is>
          <t>Fast-track recruitment for Textile &amp; Apparel</t>
        </is>
      </c>
      <c r="D106" t="inlineStr">
        <is>
          <t>Textile &amp; Apparel</t>
        </is>
      </c>
      <c r="E106" t="inlineStr">
        <is>
          <t>Handloom &amp; Textiles Dept</t>
        </is>
      </c>
      <c r="F106" t="inlineStr">
        <is>
          <t>Varanasi</t>
        </is>
      </c>
      <c r="G106" t="inlineStr">
        <is>
          <t>2025-2027</t>
        </is>
      </c>
      <c r="H106" t="inlineStr">
        <is>
          <t>Curriculum Reform</t>
        </is>
      </c>
      <c r="I106" t="inlineStr">
        <is>
          <t>Pending Funding</t>
        </is>
      </c>
      <c r="J106" t="n">
        <v>24131</v>
      </c>
      <c r="K106" t="n">
        <v>10334</v>
      </c>
      <c r="L106" t="n">
        <v>13797</v>
      </c>
      <c r="M106" t="n">
        <v>57.2</v>
      </c>
      <c r="N106" t="n">
        <v>198.39</v>
      </c>
      <c r="O106" t="n">
        <v>21</v>
      </c>
      <c r="P106" t="n">
        <v>2026</v>
      </c>
      <c r="Q106" t="n">
        <v>49</v>
      </c>
      <c r="R106" t="n">
        <v>83</v>
      </c>
      <c r="S106" t="n">
        <v>89</v>
      </c>
    </row>
    <row r="107">
      <c r="A107" t="n">
        <v>106</v>
      </c>
      <c r="B107" s="2" t="inlineStr">
        <is>
          <t>Medium</t>
        </is>
      </c>
      <c r="C107" t="inlineStr">
        <is>
          <t>Build Skill Development talent corridor</t>
        </is>
      </c>
      <c r="D107" t="inlineStr">
        <is>
          <t>Skill Development</t>
        </is>
      </c>
      <c r="E107" t="inlineStr">
        <is>
          <t>UPSDM</t>
        </is>
      </c>
      <c r="F107" t="inlineStr">
        <is>
          <t>Gorakhpur</t>
        </is>
      </c>
      <c r="G107" t="inlineStr">
        <is>
          <t>2026-2030</t>
        </is>
      </c>
      <c r="H107" t="inlineStr">
        <is>
          <t>Centre of Excellence</t>
        </is>
      </c>
      <c r="I107" t="inlineStr">
        <is>
          <t>Approved</t>
        </is>
      </c>
      <c r="J107" t="n">
        <v>19191</v>
      </c>
      <c r="K107" t="n">
        <v>16088</v>
      </c>
      <c r="L107" t="n">
        <v>3103</v>
      </c>
      <c r="M107" t="n">
        <v>16.2</v>
      </c>
      <c r="N107" t="n">
        <v>222.68</v>
      </c>
      <c r="O107" t="n">
        <v>24</v>
      </c>
      <c r="P107" t="n">
        <v>2027</v>
      </c>
      <c r="Q107" t="n">
        <v>27</v>
      </c>
      <c r="R107" t="n">
        <v>79</v>
      </c>
      <c r="S107" t="n">
        <v>82</v>
      </c>
    </row>
    <row r="108">
      <c r="A108" t="n">
        <v>107</v>
      </c>
      <c r="B108" s="2" t="inlineStr">
        <is>
          <t>Medium</t>
        </is>
      </c>
      <c r="C108" t="inlineStr">
        <is>
          <t>PPP for Transport apprenticeships</t>
        </is>
      </c>
      <c r="D108" t="inlineStr">
        <is>
          <t>Transport</t>
        </is>
      </c>
      <c r="E108" t="inlineStr">
        <is>
          <t>Transport Dept</t>
        </is>
      </c>
      <c r="F108" t="inlineStr">
        <is>
          <t>Varanasi</t>
        </is>
      </c>
      <c r="G108" t="inlineStr">
        <is>
          <t>2026-2028</t>
        </is>
      </c>
      <c r="H108" t="inlineStr">
        <is>
          <t>Skilling</t>
        </is>
      </c>
      <c r="I108" t="inlineStr">
        <is>
          <t>In Execution</t>
        </is>
      </c>
      <c r="J108" t="n">
        <v>18671</v>
      </c>
      <c r="K108" t="n">
        <v>14950</v>
      </c>
      <c r="L108" t="n">
        <v>3721</v>
      </c>
      <c r="M108" t="n">
        <v>19.9</v>
      </c>
      <c r="N108" t="n">
        <v>342.05</v>
      </c>
      <c r="O108" t="n">
        <v>39</v>
      </c>
      <c r="P108" t="n">
        <v>2025</v>
      </c>
      <c r="Q108" t="n">
        <v>49</v>
      </c>
      <c r="R108" t="n">
        <v>62</v>
      </c>
      <c r="S108" t="n">
        <v>68</v>
      </c>
    </row>
    <row r="109">
      <c r="A109" t="n">
        <v>108</v>
      </c>
      <c r="B109" s="4" t="inlineStr">
        <is>
          <t>High</t>
        </is>
      </c>
      <c r="C109" t="inlineStr">
        <is>
          <t>ITI conversion to Transport curriculum</t>
        </is>
      </c>
      <c r="D109" t="inlineStr">
        <is>
          <t>Transport</t>
        </is>
      </c>
      <c r="E109" t="inlineStr">
        <is>
          <t>UPSRTC</t>
        </is>
      </c>
      <c r="F109" t="inlineStr">
        <is>
          <t>Multi-district</t>
        </is>
      </c>
      <c r="G109" t="inlineStr">
        <is>
          <t>2025-2027</t>
        </is>
      </c>
      <c r="H109" t="inlineStr">
        <is>
          <t>Apprenticeship</t>
        </is>
      </c>
      <c r="I109" t="inlineStr">
        <is>
          <t>Proposed</t>
        </is>
      </c>
      <c r="J109" t="n">
        <v>15282</v>
      </c>
      <c r="K109" t="n">
        <v>11667</v>
      </c>
      <c r="L109" t="n">
        <v>3615</v>
      </c>
      <c r="M109" t="n">
        <v>23.7</v>
      </c>
      <c r="N109" t="n">
        <v>446.77</v>
      </c>
      <c r="O109" t="n">
        <v>32</v>
      </c>
      <c r="P109" t="n">
        <v>2027</v>
      </c>
      <c r="Q109" t="n">
        <v>24</v>
      </c>
      <c r="R109" t="n">
        <v>58</v>
      </c>
      <c r="S109" t="n">
        <v>75</v>
      </c>
    </row>
    <row r="110">
      <c r="A110" t="n">
        <v>109</v>
      </c>
      <c r="B110" s="5" t="inlineStr">
        <is>
          <t>Low</t>
        </is>
      </c>
      <c r="C110" t="inlineStr">
        <is>
          <t>Launch Defence Centre of Excellence</t>
        </is>
      </c>
      <c r="D110" t="inlineStr">
        <is>
          <t>Defence</t>
        </is>
      </c>
      <c r="E110" t="inlineStr">
        <is>
          <t>UP Defence Corridor Authority</t>
        </is>
      </c>
      <c r="F110" t="inlineStr">
        <is>
          <t>Jhansi</t>
        </is>
      </c>
      <c r="G110" t="inlineStr">
        <is>
          <t>2025-2027</t>
        </is>
      </c>
      <c r="H110" t="inlineStr">
        <is>
          <t>Skilling</t>
        </is>
      </c>
      <c r="I110" t="inlineStr">
        <is>
          <t>Approved</t>
        </is>
      </c>
      <c r="J110" t="n">
        <v>23919</v>
      </c>
      <c r="K110" t="n">
        <v>14051</v>
      </c>
      <c r="L110" t="n">
        <v>9868</v>
      </c>
      <c r="M110" t="n">
        <v>41.3</v>
      </c>
      <c r="N110" t="n">
        <v>380.28</v>
      </c>
      <c r="O110" t="n">
        <v>14</v>
      </c>
      <c r="P110" t="n">
        <v>2026</v>
      </c>
      <c r="Q110" t="n">
        <v>45</v>
      </c>
      <c r="R110" t="n">
        <v>57</v>
      </c>
      <c r="S110" t="n">
        <v>68</v>
      </c>
    </row>
    <row r="111">
      <c r="A111" t="n">
        <v>110</v>
      </c>
      <c r="B111" s="4" t="inlineStr">
        <is>
          <t>High</t>
        </is>
      </c>
      <c r="C111" t="inlineStr">
        <is>
          <t>ITI conversion to Education curriculum</t>
        </is>
      </c>
      <c r="D111" t="inlineStr">
        <is>
          <t>Education</t>
        </is>
      </c>
      <c r="E111" t="inlineStr">
        <is>
          <t>Higher Education</t>
        </is>
      </c>
      <c r="F111" t="inlineStr">
        <is>
          <t>Lucknow</t>
        </is>
      </c>
      <c r="G111" t="inlineStr">
        <is>
          <t>2025-2026</t>
        </is>
      </c>
      <c r="H111" t="inlineStr">
        <is>
          <t>Skilling</t>
        </is>
      </c>
      <c r="I111" t="inlineStr">
        <is>
          <t>Approved</t>
        </is>
      </c>
      <c r="J111" t="n">
        <v>5399</v>
      </c>
      <c r="K111" t="n">
        <v>2762</v>
      </c>
      <c r="L111" t="n">
        <v>2637</v>
      </c>
      <c r="M111" t="n">
        <v>48.8</v>
      </c>
      <c r="N111" t="n">
        <v>349.62</v>
      </c>
      <c r="O111" t="n">
        <v>39</v>
      </c>
      <c r="P111" t="n">
        <v>2026</v>
      </c>
      <c r="Q111" t="n">
        <v>16</v>
      </c>
      <c r="R111" t="n">
        <v>82</v>
      </c>
      <c r="S111" t="n">
        <v>57</v>
      </c>
    </row>
    <row r="112">
      <c r="A112" t="n">
        <v>111</v>
      </c>
      <c r="B112" s="3" t="inlineStr">
        <is>
          <t>Critical</t>
        </is>
      </c>
      <c r="C112" t="inlineStr">
        <is>
          <t>Launch Agriculture &amp; Food Processing Centre of Excellence</t>
        </is>
      </c>
      <c r="D112" t="inlineStr">
        <is>
          <t>Agriculture &amp; Food Processing</t>
        </is>
      </c>
      <c r="E112" t="inlineStr">
        <is>
          <t>Agriculture Dept</t>
        </is>
      </c>
      <c r="F112" t="inlineStr">
        <is>
          <t>Mathura</t>
        </is>
      </c>
      <c r="G112" t="inlineStr">
        <is>
          <t>2028-2030</t>
        </is>
      </c>
      <c r="H112" t="inlineStr">
        <is>
          <t>Certification Program</t>
        </is>
      </c>
      <c r="I112" t="inlineStr">
        <is>
          <t>In Execution</t>
        </is>
      </c>
      <c r="J112" t="n">
        <v>4132</v>
      </c>
      <c r="K112" t="n">
        <v>3006</v>
      </c>
      <c r="L112" t="n">
        <v>1126</v>
      </c>
      <c r="M112" t="n">
        <v>27.3</v>
      </c>
      <c r="N112" t="n">
        <v>240.92</v>
      </c>
      <c r="O112" t="n">
        <v>40</v>
      </c>
      <c r="P112" t="n">
        <v>2027</v>
      </c>
      <c r="Q112" t="n">
        <v>37</v>
      </c>
      <c r="R112" t="n">
        <v>56</v>
      </c>
      <c r="S112" t="n">
        <v>90</v>
      </c>
    </row>
    <row r="113">
      <c r="A113" t="n">
        <v>112</v>
      </c>
      <c r="B113" s="4" t="inlineStr">
        <is>
          <t>High</t>
        </is>
      </c>
      <c r="C113" t="inlineStr">
        <is>
          <t>Certification roll-out for Defence</t>
        </is>
      </c>
      <c r="D113" t="inlineStr">
        <is>
          <t>Defence</t>
        </is>
      </c>
      <c r="E113" t="inlineStr">
        <is>
          <t>UP Defence Corridor Authority</t>
        </is>
      </c>
      <c r="F113" t="inlineStr">
        <is>
          <t>Lucknow</t>
        </is>
      </c>
      <c r="G113" t="inlineStr">
        <is>
          <t>2027-2030</t>
        </is>
      </c>
      <c r="H113" t="inlineStr">
        <is>
          <t>PPP Partnership</t>
        </is>
      </c>
      <c r="I113" t="inlineStr">
        <is>
          <t>Under Review</t>
        </is>
      </c>
      <c r="J113" t="n">
        <v>14150</v>
      </c>
      <c r="K113" t="n">
        <v>3402</v>
      </c>
      <c r="L113" t="n">
        <v>10748</v>
      </c>
      <c r="M113" t="n">
        <v>76</v>
      </c>
      <c r="N113" t="n">
        <v>321.41</v>
      </c>
      <c r="O113" t="n">
        <v>39</v>
      </c>
      <c r="P113" t="n">
        <v>2027</v>
      </c>
      <c r="Q113" t="n">
        <v>35</v>
      </c>
      <c r="R113" t="n">
        <v>78</v>
      </c>
      <c r="S113" t="n">
        <v>54</v>
      </c>
    </row>
    <row r="114">
      <c r="A114" t="n">
        <v>113</v>
      </c>
      <c r="B114" s="4" t="inlineStr">
        <is>
          <t>High</t>
        </is>
      </c>
      <c r="C114" t="inlineStr">
        <is>
          <t>Establish AI &amp; Data Centres skilling hub</t>
        </is>
      </c>
      <c r="D114" t="inlineStr">
        <is>
          <t>AI &amp; Data Centres</t>
        </is>
      </c>
      <c r="E114" t="inlineStr">
        <is>
          <t>IT &amp; Electronics Dept</t>
        </is>
      </c>
      <c r="F114" t="inlineStr">
        <is>
          <t>Saharanpur</t>
        </is>
      </c>
      <c r="G114" t="inlineStr">
        <is>
          <t>2025-2026</t>
        </is>
      </c>
      <c r="H114" t="inlineStr">
        <is>
          <t>Apprenticeship</t>
        </is>
      </c>
      <c r="I114" t="inlineStr">
        <is>
          <t>Approved</t>
        </is>
      </c>
      <c r="J114" t="n">
        <v>24988</v>
      </c>
      <c r="K114" t="n">
        <v>2803</v>
      </c>
      <c r="L114" t="n">
        <v>22185</v>
      </c>
      <c r="M114" t="n">
        <v>88.8</v>
      </c>
      <c r="N114" t="n">
        <v>378.91</v>
      </c>
      <c r="O114" t="n">
        <v>28</v>
      </c>
      <c r="P114" t="n">
        <v>2028</v>
      </c>
      <c r="Q114" t="n">
        <v>41</v>
      </c>
      <c r="R114" t="n">
        <v>70</v>
      </c>
      <c r="S114" t="n">
        <v>96</v>
      </c>
    </row>
    <row r="115">
      <c r="A115" t="n">
        <v>114</v>
      </c>
      <c r="B115" s="2" t="inlineStr">
        <is>
          <t>Medium</t>
        </is>
      </c>
      <c r="C115" t="inlineStr">
        <is>
          <t>Industry-academia link for Health</t>
        </is>
      </c>
      <c r="D115" t="inlineStr">
        <is>
          <t>Health</t>
        </is>
      </c>
      <c r="E115" t="inlineStr">
        <is>
          <t>AYUSH</t>
        </is>
      </c>
      <c r="F115" t="inlineStr">
        <is>
          <t>Aligarh</t>
        </is>
      </c>
      <c r="G115" t="inlineStr">
        <is>
          <t>2025-2027</t>
        </is>
      </c>
      <c r="H115" t="inlineStr">
        <is>
          <t>Skilling</t>
        </is>
      </c>
      <c r="I115" t="inlineStr">
        <is>
          <t>Approved</t>
        </is>
      </c>
      <c r="J115" t="n">
        <v>11593</v>
      </c>
      <c r="K115" t="n">
        <v>8232</v>
      </c>
      <c r="L115" t="n">
        <v>3361</v>
      </c>
      <c r="M115" t="n">
        <v>29</v>
      </c>
      <c r="N115" t="n">
        <v>85.69</v>
      </c>
      <c r="O115" t="n">
        <v>35</v>
      </c>
      <c r="P115" t="n">
        <v>2025</v>
      </c>
      <c r="Q115" t="n">
        <v>52</v>
      </c>
      <c r="R115" t="n">
        <v>85</v>
      </c>
      <c r="S115" t="n">
        <v>90</v>
      </c>
    </row>
    <row r="116">
      <c r="A116" t="n">
        <v>115</v>
      </c>
      <c r="B116" s="2" t="inlineStr">
        <is>
          <t>Medium</t>
        </is>
      </c>
      <c r="C116" t="inlineStr">
        <is>
          <t>Scale Education workforce pipeline</t>
        </is>
      </c>
      <c r="D116" t="inlineStr">
        <is>
          <t>Education</t>
        </is>
      </c>
      <c r="E116" t="inlineStr">
        <is>
          <t>Basic Education</t>
        </is>
      </c>
      <c r="F116" t="inlineStr">
        <is>
          <t>Moradabad</t>
        </is>
      </c>
      <c r="G116" t="inlineStr">
        <is>
          <t>2025-2026</t>
        </is>
      </c>
      <c r="H116" t="inlineStr">
        <is>
          <t>ITI Conversion</t>
        </is>
      </c>
      <c r="I116" t="inlineStr">
        <is>
          <t>Under Review</t>
        </is>
      </c>
      <c r="J116" t="n">
        <v>7036</v>
      </c>
      <c r="K116" t="n">
        <v>5377</v>
      </c>
      <c r="L116" t="n">
        <v>1659</v>
      </c>
      <c r="M116" t="n">
        <v>23.6</v>
      </c>
      <c r="N116" t="n">
        <v>152.85</v>
      </c>
      <c r="O116" t="n">
        <v>25</v>
      </c>
      <c r="P116" t="n">
        <v>2027</v>
      </c>
      <c r="Q116" t="n">
        <v>31</v>
      </c>
      <c r="R116" t="n">
        <v>87</v>
      </c>
      <c r="S116" t="n">
        <v>75</v>
      </c>
    </row>
    <row r="117">
      <c r="A117" t="n">
        <v>116</v>
      </c>
      <c r="B117" s="2" t="inlineStr">
        <is>
          <t>Medium</t>
        </is>
      </c>
      <c r="C117" t="inlineStr">
        <is>
          <t>Build Urban Development talent corridor</t>
        </is>
      </c>
      <c r="D117" t="inlineStr">
        <is>
          <t>Urban Development</t>
        </is>
      </c>
      <c r="E117" t="inlineStr">
        <is>
          <t>Urban Development Dept</t>
        </is>
      </c>
      <c r="F117" t="inlineStr">
        <is>
          <t>Agra</t>
        </is>
      </c>
      <c r="G117" t="inlineStr">
        <is>
          <t>2026-2028</t>
        </is>
      </c>
      <c r="H117" t="inlineStr">
        <is>
          <t>PPP Partnership</t>
        </is>
      </c>
      <c r="I117" t="inlineStr">
        <is>
          <t>Proposed</t>
        </is>
      </c>
      <c r="J117" t="n">
        <v>11376</v>
      </c>
      <c r="K117" t="n">
        <v>3468</v>
      </c>
      <c r="L117" t="n">
        <v>7908</v>
      </c>
      <c r="M117" t="n">
        <v>69.5</v>
      </c>
      <c r="N117" t="n">
        <v>384.09</v>
      </c>
      <c r="O117" t="n">
        <v>33</v>
      </c>
      <c r="P117" t="n">
        <v>2026</v>
      </c>
      <c r="Q117" t="n">
        <v>58</v>
      </c>
      <c r="R117" t="n">
        <v>80</v>
      </c>
      <c r="S117" t="n">
        <v>97</v>
      </c>
    </row>
    <row r="118">
      <c r="A118" t="n">
        <v>117</v>
      </c>
      <c r="B118" s="5" t="inlineStr">
        <is>
          <t>Low</t>
        </is>
      </c>
      <c r="C118" t="inlineStr">
        <is>
          <t>Industry-academia link for Police &amp; Home</t>
        </is>
      </c>
      <c r="D118" t="inlineStr">
        <is>
          <t>Police &amp; Home</t>
        </is>
      </c>
      <c r="E118" t="inlineStr">
        <is>
          <t>UP Police</t>
        </is>
      </c>
      <c r="F118" t="inlineStr">
        <is>
          <t>Saharanpur</t>
        </is>
      </c>
      <c r="G118" t="inlineStr">
        <is>
          <t>2028-2030</t>
        </is>
      </c>
      <c r="H118" t="inlineStr">
        <is>
          <t>Fast-track Hiring</t>
        </is>
      </c>
      <c r="I118" t="inlineStr">
        <is>
          <t>Approved</t>
        </is>
      </c>
      <c r="J118" t="n">
        <v>9239</v>
      </c>
      <c r="K118" t="n">
        <v>6475</v>
      </c>
      <c r="L118" t="n">
        <v>2764</v>
      </c>
      <c r="M118" t="n">
        <v>29.9</v>
      </c>
      <c r="N118" t="n">
        <v>349.54</v>
      </c>
      <c r="O118" t="n">
        <v>11</v>
      </c>
      <c r="P118" t="n">
        <v>2025</v>
      </c>
      <c r="Q118" t="n">
        <v>35</v>
      </c>
      <c r="R118" t="n">
        <v>82</v>
      </c>
      <c r="S118" t="n">
        <v>88</v>
      </c>
    </row>
    <row r="119">
      <c r="A119" t="n">
        <v>118</v>
      </c>
      <c r="B119" s="3" t="inlineStr">
        <is>
          <t>Critical</t>
        </is>
      </c>
      <c r="C119" t="inlineStr">
        <is>
          <t>Expand Agriculture &amp; Food Processing training capacity</t>
        </is>
      </c>
      <c r="D119" t="inlineStr">
        <is>
          <t>Agriculture &amp; Food Processing</t>
        </is>
      </c>
      <c r="E119" t="inlineStr">
        <is>
          <t>Mandi Parishad</t>
        </is>
      </c>
      <c r="F119" t="inlineStr">
        <is>
          <t>Aligarh</t>
        </is>
      </c>
      <c r="G119" t="inlineStr">
        <is>
          <t>2028-2030</t>
        </is>
      </c>
      <c r="H119" t="inlineStr">
        <is>
          <t>ITI Conversion</t>
        </is>
      </c>
      <c r="I119" t="inlineStr">
        <is>
          <t>Approved</t>
        </is>
      </c>
      <c r="J119" t="n">
        <v>20246</v>
      </c>
      <c r="K119" t="n">
        <v>12921</v>
      </c>
      <c r="L119" t="n">
        <v>7325</v>
      </c>
      <c r="M119" t="n">
        <v>36.2</v>
      </c>
      <c r="N119" t="n">
        <v>81.66</v>
      </c>
      <c r="O119" t="n">
        <v>34</v>
      </c>
      <c r="P119" t="n">
        <v>2025</v>
      </c>
      <c r="Q119" t="n">
        <v>47</v>
      </c>
      <c r="R119" t="n">
        <v>77</v>
      </c>
      <c r="S119" t="n">
        <v>78</v>
      </c>
    </row>
    <row r="120">
      <c r="A120" t="n">
        <v>119</v>
      </c>
      <c r="B120" s="4" t="inlineStr">
        <is>
          <t>High</t>
        </is>
      </c>
      <c r="C120" t="inlineStr">
        <is>
          <t>Industry-academia link for Public Works</t>
        </is>
      </c>
      <c r="D120" t="inlineStr">
        <is>
          <t>Public Works</t>
        </is>
      </c>
      <c r="E120" t="inlineStr">
        <is>
          <t>UPRNN</t>
        </is>
      </c>
      <c r="F120" t="inlineStr">
        <is>
          <t>Kanpur</t>
        </is>
      </c>
      <c r="G120" t="inlineStr">
        <is>
          <t>2025-2026</t>
        </is>
      </c>
      <c r="H120" t="inlineStr">
        <is>
          <t>Apprenticeship</t>
        </is>
      </c>
      <c r="I120" t="inlineStr">
        <is>
          <t>Approved</t>
        </is>
      </c>
      <c r="J120" t="n">
        <v>22762</v>
      </c>
      <c r="K120" t="n">
        <v>5007</v>
      </c>
      <c r="L120" t="n">
        <v>17755</v>
      </c>
      <c r="M120" t="n">
        <v>78</v>
      </c>
      <c r="N120" t="n">
        <v>16.89</v>
      </c>
      <c r="O120" t="n">
        <v>44</v>
      </c>
      <c r="P120" t="n">
        <v>2026</v>
      </c>
      <c r="Q120" t="n">
        <v>3</v>
      </c>
      <c r="R120" t="n">
        <v>98</v>
      </c>
      <c r="S120" t="n">
        <v>100</v>
      </c>
    </row>
    <row r="121">
      <c r="A121" t="n">
        <v>120</v>
      </c>
      <c r="B121" s="4" t="inlineStr">
        <is>
          <t>High</t>
        </is>
      </c>
      <c r="C121" t="inlineStr">
        <is>
          <t>Scale Education workforce pipeline</t>
        </is>
      </c>
      <c r="D121" t="inlineStr">
        <is>
          <t>Education</t>
        </is>
      </c>
      <c r="E121" t="inlineStr">
        <is>
          <t>Basic Education</t>
        </is>
      </c>
      <c r="F121" t="inlineStr">
        <is>
          <t>Jhansi</t>
        </is>
      </c>
      <c r="G121" t="inlineStr">
        <is>
          <t>2026-2028</t>
        </is>
      </c>
      <c r="H121" t="inlineStr">
        <is>
          <t>Apprenticeship</t>
        </is>
      </c>
      <c r="I121" t="inlineStr">
        <is>
          <t>Pending Funding</t>
        </is>
      </c>
      <c r="J121" t="n">
        <v>20327</v>
      </c>
      <c r="K121" t="n">
        <v>4371</v>
      </c>
      <c r="L121" t="n">
        <v>15956</v>
      </c>
      <c r="M121" t="n">
        <v>78.5</v>
      </c>
      <c r="N121" t="n">
        <v>217.06</v>
      </c>
      <c r="O121" t="n">
        <v>29</v>
      </c>
      <c r="P121" t="n">
        <v>2025</v>
      </c>
      <c r="Q121" t="n">
        <v>37</v>
      </c>
      <c r="R121" t="n">
        <v>78</v>
      </c>
      <c r="S121" t="n">
        <v>78</v>
      </c>
    </row>
    <row r="122">
      <c r="A122" t="n">
        <v>121</v>
      </c>
      <c r="B122" s="4" t="inlineStr">
        <is>
          <t>High</t>
        </is>
      </c>
      <c r="C122" t="inlineStr">
        <is>
          <t>Launch Education Centre of Excellence</t>
        </is>
      </c>
      <c r="D122" t="inlineStr">
        <is>
          <t>Education</t>
        </is>
      </c>
      <c r="E122" t="inlineStr">
        <is>
          <t>Higher Education</t>
        </is>
      </c>
      <c r="F122" t="inlineStr">
        <is>
          <t>Aligarh</t>
        </is>
      </c>
      <c r="G122" t="inlineStr">
        <is>
          <t>2028-2030</t>
        </is>
      </c>
      <c r="H122" t="inlineStr">
        <is>
          <t>ITI Conversion</t>
        </is>
      </c>
      <c r="I122" t="inlineStr">
        <is>
          <t>Under Review</t>
        </is>
      </c>
      <c r="J122" t="n">
        <v>1349</v>
      </c>
      <c r="K122" t="n">
        <v>879</v>
      </c>
      <c r="L122" t="n">
        <v>470</v>
      </c>
      <c r="M122" t="n">
        <v>34.8</v>
      </c>
      <c r="N122" t="n">
        <v>240.54</v>
      </c>
      <c r="O122" t="n">
        <v>30</v>
      </c>
      <c r="P122" t="n">
        <v>2026</v>
      </c>
      <c r="Q122" t="n">
        <v>50</v>
      </c>
      <c r="R122" t="n">
        <v>90</v>
      </c>
      <c r="S122" t="n">
        <v>57</v>
      </c>
    </row>
    <row r="123">
      <c r="A123" t="n">
        <v>122</v>
      </c>
      <c r="B123" s="4" t="inlineStr">
        <is>
          <t>High</t>
        </is>
      </c>
      <c r="C123" t="inlineStr">
        <is>
          <t>Launch Urban Development Centre of Excellence</t>
        </is>
      </c>
      <c r="D123" t="inlineStr">
        <is>
          <t>Urban Development</t>
        </is>
      </c>
      <c r="E123" t="inlineStr">
        <is>
          <t>Housing Board</t>
        </is>
      </c>
      <c r="F123" t="inlineStr">
        <is>
          <t>Gorakhpur</t>
        </is>
      </c>
      <c r="G123" t="inlineStr">
        <is>
          <t>2028-2030</t>
        </is>
      </c>
      <c r="H123" t="inlineStr">
        <is>
          <t>Fast-track Hiring</t>
        </is>
      </c>
      <c r="I123" t="inlineStr">
        <is>
          <t>Under Review</t>
        </is>
      </c>
      <c r="J123" t="n">
        <v>4947</v>
      </c>
      <c r="K123" t="n">
        <v>3658</v>
      </c>
      <c r="L123" t="n">
        <v>1289</v>
      </c>
      <c r="M123" t="n">
        <v>26.1</v>
      </c>
      <c r="N123" t="n">
        <v>218.08</v>
      </c>
      <c r="O123" t="n">
        <v>34</v>
      </c>
      <c r="P123" t="n">
        <v>2026</v>
      </c>
      <c r="Q123" t="n">
        <v>43</v>
      </c>
      <c r="R123" t="n">
        <v>60</v>
      </c>
      <c r="S123" t="n">
        <v>93</v>
      </c>
    </row>
    <row r="124">
      <c r="A124" t="n">
        <v>123</v>
      </c>
      <c r="B124" s="2" t="inlineStr">
        <is>
          <t>Medium</t>
        </is>
      </c>
      <c r="C124" t="inlineStr">
        <is>
          <t>PPP for Public Works apprenticeships</t>
        </is>
      </c>
      <c r="D124" t="inlineStr">
        <is>
          <t>Public Works</t>
        </is>
      </c>
      <c r="E124" t="inlineStr">
        <is>
          <t>PWD</t>
        </is>
      </c>
      <c r="F124" t="inlineStr">
        <is>
          <t>Gorakhpur</t>
        </is>
      </c>
      <c r="G124" t="inlineStr">
        <is>
          <t>2026-2028</t>
        </is>
      </c>
      <c r="H124" t="inlineStr">
        <is>
          <t>Curriculum Reform</t>
        </is>
      </c>
      <c r="I124" t="inlineStr">
        <is>
          <t>Under Review</t>
        </is>
      </c>
      <c r="J124" t="n">
        <v>17170</v>
      </c>
      <c r="K124" t="n">
        <v>4604</v>
      </c>
      <c r="L124" t="n">
        <v>12566</v>
      </c>
      <c r="M124" t="n">
        <v>73.2</v>
      </c>
      <c r="N124" t="n">
        <v>472.89</v>
      </c>
      <c r="O124" t="n">
        <v>14</v>
      </c>
      <c r="P124" t="n">
        <v>2026</v>
      </c>
      <c r="Q124" t="n">
        <v>2</v>
      </c>
      <c r="R124" t="n">
        <v>70</v>
      </c>
      <c r="S124" t="n">
        <v>100</v>
      </c>
    </row>
    <row r="125">
      <c r="A125" t="n">
        <v>124</v>
      </c>
      <c r="B125" s="4" t="inlineStr">
        <is>
          <t>High</t>
        </is>
      </c>
      <c r="C125" t="inlineStr">
        <is>
          <t>Establish Public Works skilling hub</t>
        </is>
      </c>
      <c r="D125" t="inlineStr">
        <is>
          <t>Public Works</t>
        </is>
      </c>
      <c r="E125" t="inlineStr">
        <is>
          <t>UPRNN</t>
        </is>
      </c>
      <c r="F125" t="inlineStr">
        <is>
          <t>Varanasi</t>
        </is>
      </c>
      <c r="G125" t="inlineStr">
        <is>
          <t>2027-2030</t>
        </is>
      </c>
      <c r="H125" t="inlineStr">
        <is>
          <t>Recruitment</t>
        </is>
      </c>
      <c r="I125" t="inlineStr">
        <is>
          <t>Proposed</t>
        </is>
      </c>
      <c r="J125" t="n">
        <v>13546</v>
      </c>
      <c r="K125" t="n">
        <v>11509</v>
      </c>
      <c r="L125" t="n">
        <v>2037</v>
      </c>
      <c r="M125" t="n">
        <v>15</v>
      </c>
      <c r="N125" t="n">
        <v>345.62</v>
      </c>
      <c r="O125" t="n">
        <v>39</v>
      </c>
      <c r="P125" t="n">
        <v>2026</v>
      </c>
      <c r="Q125" t="n">
        <v>53</v>
      </c>
      <c r="R125" t="n">
        <v>81</v>
      </c>
      <c r="S125" t="n">
        <v>99</v>
      </c>
    </row>
    <row r="126">
      <c r="A126" t="n">
        <v>125</v>
      </c>
      <c r="B126" s="3" t="inlineStr">
        <is>
          <t>Critical</t>
        </is>
      </c>
      <c r="C126" t="inlineStr">
        <is>
          <t>Expand Logistics &amp; Warehousing training capacity</t>
        </is>
      </c>
      <c r="D126" t="inlineStr">
        <is>
          <t>Logistics &amp; Warehousing</t>
        </is>
      </c>
      <c r="E126" t="inlineStr">
        <is>
          <t>Industries Dept</t>
        </is>
      </c>
      <c r="F126" t="inlineStr">
        <is>
          <t>Aligarh</t>
        </is>
      </c>
      <c r="G126" t="inlineStr">
        <is>
          <t>2028-2030</t>
        </is>
      </c>
      <c r="H126" t="inlineStr">
        <is>
          <t>Recruitment</t>
        </is>
      </c>
      <c r="I126" t="inlineStr">
        <is>
          <t>In Execution</t>
        </is>
      </c>
      <c r="J126" t="n">
        <v>22785</v>
      </c>
      <c r="K126" t="n">
        <v>11119</v>
      </c>
      <c r="L126" t="n">
        <v>11666</v>
      </c>
      <c r="M126" t="n">
        <v>51.2</v>
      </c>
      <c r="N126" t="n">
        <v>63.34</v>
      </c>
      <c r="O126" t="n">
        <v>41</v>
      </c>
      <c r="P126" t="n">
        <v>2025</v>
      </c>
      <c r="Q126" t="n">
        <v>50</v>
      </c>
      <c r="R126" t="n">
        <v>95</v>
      </c>
      <c r="S126" t="n">
        <v>87</v>
      </c>
    </row>
    <row r="127">
      <c r="A127" t="n">
        <v>126</v>
      </c>
      <c r="B127" s="2" t="inlineStr">
        <is>
          <t>Medium</t>
        </is>
      </c>
      <c r="C127" t="inlineStr">
        <is>
          <t>Establish Education skilling hub</t>
        </is>
      </c>
      <c r="D127" t="inlineStr">
        <is>
          <t>Education</t>
        </is>
      </c>
      <c r="E127" t="inlineStr">
        <is>
          <t>Secondary Education</t>
        </is>
      </c>
      <c r="F127" t="inlineStr">
        <is>
          <t>Kanpur</t>
        </is>
      </c>
      <c r="G127" t="inlineStr">
        <is>
          <t>2025-2026</t>
        </is>
      </c>
      <c r="H127" t="inlineStr">
        <is>
          <t>University Tie-up</t>
        </is>
      </c>
      <c r="I127" t="inlineStr">
        <is>
          <t>Under Review</t>
        </is>
      </c>
      <c r="J127" t="n">
        <v>5895</v>
      </c>
      <c r="K127" t="n">
        <v>1305</v>
      </c>
      <c r="L127" t="n">
        <v>4590</v>
      </c>
      <c r="M127" t="n">
        <v>77.90000000000001</v>
      </c>
      <c r="N127" t="n">
        <v>448.8</v>
      </c>
      <c r="O127" t="n">
        <v>20</v>
      </c>
      <c r="P127" t="n">
        <v>2026</v>
      </c>
      <c r="Q127" t="n">
        <v>55</v>
      </c>
      <c r="R127" t="n">
        <v>77</v>
      </c>
      <c r="S127" t="n">
        <v>83</v>
      </c>
    </row>
    <row r="128">
      <c r="A128" t="n">
        <v>127</v>
      </c>
      <c r="B128" s="4" t="inlineStr">
        <is>
          <t>High</t>
        </is>
      </c>
      <c r="C128" t="inlineStr">
        <is>
          <t>Industry-academia link for Manufacturing</t>
        </is>
      </c>
      <c r="D128" t="inlineStr">
        <is>
          <t>Manufacturing</t>
        </is>
      </c>
      <c r="E128" t="inlineStr">
        <is>
          <t>MSME Dept</t>
        </is>
      </c>
      <c r="F128" t="inlineStr">
        <is>
          <t>Bareilly</t>
        </is>
      </c>
      <c r="G128" t="inlineStr">
        <is>
          <t>2025-2027</t>
        </is>
      </c>
      <c r="H128" t="inlineStr">
        <is>
          <t>ITI Conversion</t>
        </is>
      </c>
      <c r="I128" t="inlineStr">
        <is>
          <t>Pending Funding</t>
        </is>
      </c>
      <c r="J128" t="n">
        <v>3561</v>
      </c>
      <c r="K128" t="n">
        <v>1698</v>
      </c>
      <c r="L128" t="n">
        <v>1863</v>
      </c>
      <c r="M128" t="n">
        <v>52.3</v>
      </c>
      <c r="N128" t="n">
        <v>82.61</v>
      </c>
      <c r="O128" t="n">
        <v>43</v>
      </c>
      <c r="P128" t="n">
        <v>2028</v>
      </c>
      <c r="Q128" t="n">
        <v>40</v>
      </c>
      <c r="R128" t="n">
        <v>64</v>
      </c>
      <c r="S128" t="n">
        <v>60</v>
      </c>
    </row>
    <row r="129">
      <c r="A129" t="n">
        <v>128</v>
      </c>
      <c r="B129" s="2" t="inlineStr">
        <is>
          <t>Medium</t>
        </is>
      </c>
      <c r="C129" t="inlineStr">
        <is>
          <t>Build Textile &amp; Apparel talent corridor</t>
        </is>
      </c>
      <c r="D129" t="inlineStr">
        <is>
          <t>Textile &amp; Apparel</t>
        </is>
      </c>
      <c r="E129" t="inlineStr">
        <is>
          <t>Handloom &amp; Textiles Dept</t>
        </is>
      </c>
      <c r="F129" t="inlineStr">
        <is>
          <t>Kanpur</t>
        </is>
      </c>
      <c r="G129" t="inlineStr">
        <is>
          <t>2025-2026</t>
        </is>
      </c>
      <c r="H129" t="inlineStr">
        <is>
          <t>Recruitment</t>
        </is>
      </c>
      <c r="I129" t="inlineStr">
        <is>
          <t>Proposed</t>
        </is>
      </c>
      <c r="J129" t="n">
        <v>19399</v>
      </c>
      <c r="K129" t="n">
        <v>5790</v>
      </c>
      <c r="L129" t="n">
        <v>13609</v>
      </c>
      <c r="M129" t="n">
        <v>70.2</v>
      </c>
      <c r="N129" t="n">
        <v>102.77</v>
      </c>
      <c r="O129" t="n">
        <v>42</v>
      </c>
      <c r="P129" t="n">
        <v>2028</v>
      </c>
      <c r="Q129" t="n">
        <v>2</v>
      </c>
      <c r="R129" t="n">
        <v>81</v>
      </c>
      <c r="S129" t="n">
        <v>89</v>
      </c>
    </row>
    <row r="130">
      <c r="A130" t="n">
        <v>129</v>
      </c>
      <c r="B130" s="2" t="inlineStr">
        <is>
          <t>Medium</t>
        </is>
      </c>
      <c r="C130" t="inlineStr">
        <is>
          <t>Establish EV &amp; Mobility skilling hub</t>
        </is>
      </c>
      <c r="D130" t="inlineStr">
        <is>
          <t>EV &amp; Mobility</t>
        </is>
      </c>
      <c r="E130" t="inlineStr">
        <is>
          <t>Industries Dept</t>
        </is>
      </c>
      <c r="F130" t="inlineStr">
        <is>
          <t>Gorakhpur</t>
        </is>
      </c>
      <c r="G130" t="inlineStr">
        <is>
          <t>2026-2030</t>
        </is>
      </c>
      <c r="H130" t="inlineStr">
        <is>
          <t>Centre of Excellence</t>
        </is>
      </c>
      <c r="I130" t="inlineStr">
        <is>
          <t>In Execution</t>
        </is>
      </c>
      <c r="J130" t="n">
        <v>15361</v>
      </c>
      <c r="K130" t="n">
        <v>2376</v>
      </c>
      <c r="L130" t="n">
        <v>12985</v>
      </c>
      <c r="M130" t="n">
        <v>84.5</v>
      </c>
      <c r="N130" t="n">
        <v>30.64</v>
      </c>
      <c r="O130" t="n">
        <v>34</v>
      </c>
      <c r="P130" t="n">
        <v>2026</v>
      </c>
      <c r="Q130" t="n">
        <v>14</v>
      </c>
      <c r="R130" t="n">
        <v>81</v>
      </c>
      <c r="S130" t="n">
        <v>80</v>
      </c>
    </row>
    <row r="131">
      <c r="A131" t="n">
        <v>130</v>
      </c>
      <c r="B131" s="4" t="inlineStr">
        <is>
          <t>High</t>
        </is>
      </c>
      <c r="C131" t="inlineStr">
        <is>
          <t>Fast-track recruitment for Tourism &amp; Hospitality</t>
        </is>
      </c>
      <c r="D131" t="inlineStr">
        <is>
          <t>Tourism &amp; Hospitality</t>
        </is>
      </c>
      <c r="E131" t="inlineStr">
        <is>
          <t>Tourism Dept</t>
        </is>
      </c>
      <c r="F131" t="inlineStr">
        <is>
          <t>Aligarh</t>
        </is>
      </c>
      <c r="G131" t="inlineStr">
        <is>
          <t>2028-2030</t>
        </is>
      </c>
      <c r="H131" t="inlineStr">
        <is>
          <t>PPP Partnership</t>
        </is>
      </c>
      <c r="I131" t="inlineStr">
        <is>
          <t>In Execution</t>
        </is>
      </c>
      <c r="J131" t="n">
        <v>12641</v>
      </c>
      <c r="K131" t="n">
        <v>6146</v>
      </c>
      <c r="L131" t="n">
        <v>6495</v>
      </c>
      <c r="M131" t="n">
        <v>51.4</v>
      </c>
      <c r="N131" t="n">
        <v>52.76</v>
      </c>
      <c r="O131" t="n">
        <v>21</v>
      </c>
      <c r="P131" t="n">
        <v>2026</v>
      </c>
      <c r="Q131" t="n">
        <v>29</v>
      </c>
      <c r="R131" t="n">
        <v>84</v>
      </c>
      <c r="S131" t="n">
        <v>57</v>
      </c>
    </row>
    <row r="132">
      <c r="A132" t="n">
        <v>131</v>
      </c>
      <c r="B132" s="3" t="inlineStr">
        <is>
          <t>Critical</t>
        </is>
      </c>
      <c r="C132" t="inlineStr">
        <is>
          <t>ITI conversion to Defence curriculum</t>
        </is>
      </c>
      <c r="D132" t="inlineStr">
        <is>
          <t>Defence</t>
        </is>
      </c>
      <c r="E132" t="inlineStr">
        <is>
          <t>UP Defence Corridor Authority</t>
        </is>
      </c>
      <c r="F132" t="inlineStr">
        <is>
          <t>Gorakhpur</t>
        </is>
      </c>
      <c r="G132" t="inlineStr">
        <is>
          <t>2026-2030</t>
        </is>
      </c>
      <c r="H132" t="inlineStr">
        <is>
          <t>Certification Program</t>
        </is>
      </c>
      <c r="I132" t="inlineStr">
        <is>
          <t>In Execution</t>
        </is>
      </c>
      <c r="J132" t="n">
        <v>5733</v>
      </c>
      <c r="K132" t="n">
        <v>4071</v>
      </c>
      <c r="L132" t="n">
        <v>1662</v>
      </c>
      <c r="M132" t="n">
        <v>29</v>
      </c>
      <c r="N132" t="n">
        <v>448.33</v>
      </c>
      <c r="O132" t="n">
        <v>26</v>
      </c>
      <c r="P132" t="n">
        <v>2025</v>
      </c>
      <c r="Q132" t="n">
        <v>32</v>
      </c>
      <c r="R132" t="n">
        <v>67</v>
      </c>
      <c r="S132" t="n">
        <v>98</v>
      </c>
    </row>
    <row r="133">
      <c r="A133" t="n">
        <v>132</v>
      </c>
      <c r="B133" s="4" t="inlineStr">
        <is>
          <t>High</t>
        </is>
      </c>
      <c r="C133" t="inlineStr">
        <is>
          <t>AI &amp; Data Centres cadre restructuring</t>
        </is>
      </c>
      <c r="D133" t="inlineStr">
        <is>
          <t>AI &amp; Data Centres</t>
        </is>
      </c>
      <c r="E133" t="inlineStr">
        <is>
          <t>STPI Lucknow</t>
        </is>
      </c>
      <c r="F133" t="inlineStr">
        <is>
          <t>Gorakhpur</t>
        </is>
      </c>
      <c r="G133" t="inlineStr">
        <is>
          <t>2026-2030</t>
        </is>
      </c>
      <c r="H133" t="inlineStr">
        <is>
          <t>Skilling</t>
        </is>
      </c>
      <c r="I133" t="inlineStr">
        <is>
          <t>Proposed</t>
        </is>
      </c>
      <c r="J133" t="n">
        <v>17062</v>
      </c>
      <c r="K133" t="n">
        <v>7557</v>
      </c>
      <c r="L133" t="n">
        <v>9505</v>
      </c>
      <c r="M133" t="n">
        <v>55.7</v>
      </c>
      <c r="N133" t="n">
        <v>117.07</v>
      </c>
      <c r="O133" t="n">
        <v>43</v>
      </c>
      <c r="P133" t="n">
        <v>2025</v>
      </c>
      <c r="Q133" t="n">
        <v>19</v>
      </c>
      <c r="R133" t="n">
        <v>77</v>
      </c>
      <c r="S133" t="n">
        <v>53</v>
      </c>
    </row>
    <row r="134">
      <c r="A134" t="n">
        <v>133</v>
      </c>
      <c r="B134" s="4" t="inlineStr">
        <is>
          <t>High</t>
        </is>
      </c>
      <c r="C134" t="inlineStr">
        <is>
          <t>Establish EV &amp; Mobility skilling hub</t>
        </is>
      </c>
      <c r="D134" t="inlineStr">
        <is>
          <t>EV &amp; Mobility</t>
        </is>
      </c>
      <c r="E134" t="inlineStr">
        <is>
          <t>Industries Dept</t>
        </is>
      </c>
      <c r="F134" t="inlineStr">
        <is>
          <t>Lucknow</t>
        </is>
      </c>
      <c r="G134" t="inlineStr">
        <is>
          <t>2025-2026</t>
        </is>
      </c>
      <c r="H134" t="inlineStr">
        <is>
          <t>Apprenticeship</t>
        </is>
      </c>
      <c r="I134" t="inlineStr">
        <is>
          <t>Under Review</t>
        </is>
      </c>
      <c r="J134" t="n">
        <v>24338</v>
      </c>
      <c r="K134" t="n">
        <v>9110</v>
      </c>
      <c r="L134" t="n">
        <v>15228</v>
      </c>
      <c r="M134" t="n">
        <v>62.6</v>
      </c>
      <c r="N134" t="n">
        <v>194.76</v>
      </c>
      <c r="O134" t="n">
        <v>8</v>
      </c>
      <c r="P134" t="n">
        <v>2027</v>
      </c>
      <c r="Q134" t="n">
        <v>36</v>
      </c>
      <c r="R134" t="n">
        <v>80</v>
      </c>
      <c r="S134" t="n">
        <v>53</v>
      </c>
    </row>
    <row r="135">
      <c r="A135" t="n">
        <v>134</v>
      </c>
      <c r="B135" s="2" t="inlineStr">
        <is>
          <t>Medium</t>
        </is>
      </c>
      <c r="C135" t="inlineStr">
        <is>
          <t>Industry-academia link for Power &amp; Energy</t>
        </is>
      </c>
      <c r="D135" t="inlineStr">
        <is>
          <t>Power &amp; Energy</t>
        </is>
      </c>
      <c r="E135" t="inlineStr">
        <is>
          <t>UPPCL</t>
        </is>
      </c>
      <c r="F135" t="inlineStr">
        <is>
          <t>Noida</t>
        </is>
      </c>
      <c r="G135" t="inlineStr">
        <is>
          <t>2026-2030</t>
        </is>
      </c>
      <c r="H135" t="inlineStr">
        <is>
          <t>University Tie-up</t>
        </is>
      </c>
      <c r="I135" t="inlineStr">
        <is>
          <t>In Execution</t>
        </is>
      </c>
      <c r="J135" t="n">
        <v>9665</v>
      </c>
      <c r="K135" t="n">
        <v>6948</v>
      </c>
      <c r="L135" t="n">
        <v>2717</v>
      </c>
      <c r="M135" t="n">
        <v>28.1</v>
      </c>
      <c r="N135" t="n">
        <v>299.91</v>
      </c>
      <c r="O135" t="n">
        <v>45</v>
      </c>
      <c r="P135" t="n">
        <v>2025</v>
      </c>
      <c r="Q135" t="n">
        <v>26</v>
      </c>
      <c r="R135" t="n">
        <v>62</v>
      </c>
      <c r="S135" t="n">
        <v>58</v>
      </c>
    </row>
    <row r="136">
      <c r="A136" t="n">
        <v>135</v>
      </c>
      <c r="B136" s="2" t="inlineStr">
        <is>
          <t>Medium</t>
        </is>
      </c>
      <c r="C136" t="inlineStr">
        <is>
          <t>Industry-academia link for Public Works</t>
        </is>
      </c>
      <c r="D136" t="inlineStr">
        <is>
          <t>Public Works</t>
        </is>
      </c>
      <c r="E136" t="inlineStr">
        <is>
          <t>UPRNN</t>
        </is>
      </c>
      <c r="F136" t="inlineStr">
        <is>
          <t>Jhansi</t>
        </is>
      </c>
      <c r="G136" t="inlineStr">
        <is>
          <t>2025-2027</t>
        </is>
      </c>
      <c r="H136" t="inlineStr">
        <is>
          <t>Centre of Excellence</t>
        </is>
      </c>
      <c r="I136" t="inlineStr">
        <is>
          <t>Pending Funding</t>
        </is>
      </c>
      <c r="J136" t="n">
        <v>13652</v>
      </c>
      <c r="K136" t="n">
        <v>6485</v>
      </c>
      <c r="L136" t="n">
        <v>7167</v>
      </c>
      <c r="M136" t="n">
        <v>52.5</v>
      </c>
      <c r="N136" t="n">
        <v>23.66</v>
      </c>
      <c r="O136" t="n">
        <v>14</v>
      </c>
      <c r="P136" t="n">
        <v>2027</v>
      </c>
      <c r="Q136" t="n">
        <v>30</v>
      </c>
      <c r="R136" t="n">
        <v>76</v>
      </c>
      <c r="S136" t="n">
        <v>80</v>
      </c>
    </row>
    <row r="137">
      <c r="A137" t="n">
        <v>136</v>
      </c>
      <c r="B137" s="5" t="inlineStr">
        <is>
          <t>Low</t>
        </is>
      </c>
      <c r="C137" t="inlineStr">
        <is>
          <t>Fast-track recruitment for Education</t>
        </is>
      </c>
      <c r="D137" t="inlineStr">
        <is>
          <t>Education</t>
        </is>
      </c>
      <c r="E137" t="inlineStr">
        <is>
          <t>Higher Education</t>
        </is>
      </c>
      <c r="F137" t="inlineStr">
        <is>
          <t>Varanasi</t>
        </is>
      </c>
      <c r="G137" t="inlineStr">
        <is>
          <t>2026-2028</t>
        </is>
      </c>
      <c r="H137" t="inlineStr">
        <is>
          <t>Certification Program</t>
        </is>
      </c>
      <c r="I137" t="inlineStr">
        <is>
          <t>Approved</t>
        </is>
      </c>
      <c r="J137" t="n">
        <v>13376</v>
      </c>
      <c r="K137" t="n">
        <v>11275</v>
      </c>
      <c r="L137" t="n">
        <v>2101</v>
      </c>
      <c r="M137" t="n">
        <v>15.7</v>
      </c>
      <c r="N137" t="n">
        <v>355.39</v>
      </c>
      <c r="O137" t="n">
        <v>25</v>
      </c>
      <c r="P137" t="n">
        <v>2027</v>
      </c>
      <c r="Q137" t="n">
        <v>54</v>
      </c>
      <c r="R137" t="n">
        <v>92</v>
      </c>
      <c r="S137" t="n">
        <v>71</v>
      </c>
    </row>
    <row r="138">
      <c r="A138" t="n">
        <v>137</v>
      </c>
      <c r="B138" s="2" t="inlineStr">
        <is>
          <t>Medium</t>
        </is>
      </c>
      <c r="C138" t="inlineStr">
        <is>
          <t>PPP for AI &amp; Data Centres apprenticeships</t>
        </is>
      </c>
      <c r="D138" t="inlineStr">
        <is>
          <t>AI &amp; Data Centres</t>
        </is>
      </c>
      <c r="E138" t="inlineStr">
        <is>
          <t>STPI Lucknow</t>
        </is>
      </c>
      <c r="F138" t="inlineStr">
        <is>
          <t>Gorakhpur</t>
        </is>
      </c>
      <c r="G138" t="inlineStr">
        <is>
          <t>2026-2030</t>
        </is>
      </c>
      <c r="H138" t="inlineStr">
        <is>
          <t>Skilling</t>
        </is>
      </c>
      <c r="I138" t="inlineStr">
        <is>
          <t>Approved</t>
        </is>
      </c>
      <c r="J138" t="n">
        <v>22579</v>
      </c>
      <c r="K138" t="n">
        <v>4113</v>
      </c>
      <c r="L138" t="n">
        <v>18466</v>
      </c>
      <c r="M138" t="n">
        <v>81.8</v>
      </c>
      <c r="N138" t="n">
        <v>201.11</v>
      </c>
      <c r="O138" t="n">
        <v>25</v>
      </c>
      <c r="P138" t="n">
        <v>2027</v>
      </c>
      <c r="Q138" t="n">
        <v>31</v>
      </c>
      <c r="R138" t="n">
        <v>95</v>
      </c>
      <c r="S138" t="n">
        <v>51</v>
      </c>
    </row>
    <row r="139">
      <c r="A139" t="n">
        <v>138</v>
      </c>
      <c r="B139" s="2" t="inlineStr">
        <is>
          <t>Medium</t>
        </is>
      </c>
      <c r="C139" t="inlineStr">
        <is>
          <t>Urban Development cadre restructuring</t>
        </is>
      </c>
      <c r="D139" t="inlineStr">
        <is>
          <t>Urban Development</t>
        </is>
      </c>
      <c r="E139" t="inlineStr">
        <is>
          <t>Urban Development Dept</t>
        </is>
      </c>
      <c r="F139" t="inlineStr">
        <is>
          <t>Saharanpur</t>
        </is>
      </c>
      <c r="G139" t="inlineStr">
        <is>
          <t>2025-2027</t>
        </is>
      </c>
      <c r="H139" t="inlineStr">
        <is>
          <t>University Tie-up</t>
        </is>
      </c>
      <c r="I139" t="inlineStr">
        <is>
          <t>Pending Funding</t>
        </is>
      </c>
      <c r="J139" t="n">
        <v>5342</v>
      </c>
      <c r="K139" t="n">
        <v>3826</v>
      </c>
      <c r="L139" t="n">
        <v>1516</v>
      </c>
      <c r="M139" t="n">
        <v>28.4</v>
      </c>
      <c r="N139" t="n">
        <v>117.77</v>
      </c>
      <c r="O139" t="n">
        <v>42</v>
      </c>
      <c r="P139" t="n">
        <v>2025</v>
      </c>
      <c r="Q139" t="n">
        <v>29</v>
      </c>
      <c r="R139" t="n">
        <v>62</v>
      </c>
      <c r="S139" t="n">
        <v>62</v>
      </c>
    </row>
    <row r="140">
      <c r="A140" t="n">
        <v>139</v>
      </c>
      <c r="B140" s="4" t="inlineStr">
        <is>
          <t>High</t>
        </is>
      </c>
      <c r="C140" t="inlineStr">
        <is>
          <t>Expand Tourism &amp; Hospitality training capacity</t>
        </is>
      </c>
      <c r="D140" t="inlineStr">
        <is>
          <t>Tourism &amp; Hospitality</t>
        </is>
      </c>
      <c r="E140" t="inlineStr">
        <is>
          <t>UP Tourism Corp</t>
        </is>
      </c>
      <c r="F140" t="inlineStr">
        <is>
          <t>Agra</t>
        </is>
      </c>
      <c r="G140" t="inlineStr">
        <is>
          <t>2026-2030</t>
        </is>
      </c>
      <c r="H140" t="inlineStr">
        <is>
          <t>University Tie-up</t>
        </is>
      </c>
      <c r="I140" t="inlineStr">
        <is>
          <t>Pending Funding</t>
        </is>
      </c>
      <c r="J140" t="n">
        <v>24611</v>
      </c>
      <c r="K140" t="n">
        <v>15887</v>
      </c>
      <c r="L140" t="n">
        <v>8724</v>
      </c>
      <c r="M140" t="n">
        <v>35.4</v>
      </c>
      <c r="N140" t="n">
        <v>339.36</v>
      </c>
      <c r="O140" t="n">
        <v>39</v>
      </c>
      <c r="P140" t="n">
        <v>2026</v>
      </c>
      <c r="Q140" t="n">
        <v>43</v>
      </c>
      <c r="R140" t="n">
        <v>68</v>
      </c>
      <c r="S140" t="n">
        <v>85</v>
      </c>
    </row>
    <row r="141">
      <c r="A141" t="n">
        <v>140</v>
      </c>
      <c r="B141" s="4" t="inlineStr">
        <is>
          <t>High</t>
        </is>
      </c>
      <c r="C141" t="inlineStr">
        <is>
          <t>Industry-academia link for EV &amp; Mobility</t>
        </is>
      </c>
      <c r="D141" t="inlineStr">
        <is>
          <t>EV &amp; Mobility</t>
        </is>
      </c>
      <c r="E141" t="inlineStr">
        <is>
          <t>Industries Dept</t>
        </is>
      </c>
      <c r="F141" t="inlineStr">
        <is>
          <t>Prayagraj</t>
        </is>
      </c>
      <c r="G141" t="inlineStr">
        <is>
          <t>2026-2030</t>
        </is>
      </c>
      <c r="H141" t="inlineStr">
        <is>
          <t>University Tie-up</t>
        </is>
      </c>
      <c r="I141" t="inlineStr">
        <is>
          <t>Approved</t>
        </is>
      </c>
      <c r="J141" t="n">
        <v>12109</v>
      </c>
      <c r="K141" t="n">
        <v>7348</v>
      </c>
      <c r="L141" t="n">
        <v>4761</v>
      </c>
      <c r="M141" t="n">
        <v>39.3</v>
      </c>
      <c r="N141" t="n">
        <v>416.74</v>
      </c>
      <c r="O141" t="n">
        <v>47</v>
      </c>
      <c r="P141" t="n">
        <v>2026</v>
      </c>
      <c r="Q141" t="n">
        <v>13</v>
      </c>
      <c r="R141" t="n">
        <v>71</v>
      </c>
      <c r="S141" t="n">
        <v>89</v>
      </c>
    </row>
    <row r="142">
      <c r="A142" t="n">
        <v>141</v>
      </c>
      <c r="B142" s="2" t="inlineStr">
        <is>
          <t>Medium</t>
        </is>
      </c>
      <c r="C142" t="inlineStr">
        <is>
          <t>Reskilling drive for Defence</t>
        </is>
      </c>
      <c r="D142" t="inlineStr">
        <is>
          <t>Defence</t>
        </is>
      </c>
      <c r="E142" t="inlineStr">
        <is>
          <t>UP Defence Corridor Authority</t>
        </is>
      </c>
      <c r="F142" t="inlineStr">
        <is>
          <t>Meerut</t>
        </is>
      </c>
      <c r="G142" t="inlineStr">
        <is>
          <t>2026-2028</t>
        </is>
      </c>
      <c r="H142" t="inlineStr">
        <is>
          <t>ITI Conversion</t>
        </is>
      </c>
      <c r="I142" t="inlineStr">
        <is>
          <t>Under Review</t>
        </is>
      </c>
      <c r="J142" t="n">
        <v>23601</v>
      </c>
      <c r="K142" t="n">
        <v>11015</v>
      </c>
      <c r="L142" t="n">
        <v>12586</v>
      </c>
      <c r="M142" t="n">
        <v>53.3</v>
      </c>
      <c r="N142" t="n">
        <v>231.35</v>
      </c>
      <c r="O142" t="n">
        <v>41</v>
      </c>
      <c r="P142" t="n">
        <v>2025</v>
      </c>
      <c r="Q142" t="n">
        <v>37</v>
      </c>
      <c r="R142" t="n">
        <v>72</v>
      </c>
      <c r="S142" t="n">
        <v>68</v>
      </c>
    </row>
    <row r="143">
      <c r="A143" t="n">
        <v>142</v>
      </c>
      <c r="B143" s="5" t="inlineStr">
        <is>
          <t>Low</t>
        </is>
      </c>
      <c r="C143" t="inlineStr">
        <is>
          <t>Scale Pharma &amp; Biotech workforce pipeline</t>
        </is>
      </c>
      <c r="D143" t="inlineStr">
        <is>
          <t>Pharma &amp; Biotech</t>
        </is>
      </c>
      <c r="E143" t="inlineStr">
        <is>
          <t>Medical Education</t>
        </is>
      </c>
      <c r="F143" t="inlineStr">
        <is>
          <t>Ayodhya</t>
        </is>
      </c>
      <c r="G143" t="inlineStr">
        <is>
          <t>2026-2028</t>
        </is>
      </c>
      <c r="H143" t="inlineStr">
        <is>
          <t>Curriculum Reform</t>
        </is>
      </c>
      <c r="I143" t="inlineStr">
        <is>
          <t>Approved</t>
        </is>
      </c>
      <c r="J143" t="n">
        <v>9925</v>
      </c>
      <c r="K143" t="n">
        <v>8103</v>
      </c>
      <c r="L143" t="n">
        <v>1822</v>
      </c>
      <c r="M143" t="n">
        <v>18.4</v>
      </c>
      <c r="N143" t="n">
        <v>39.78</v>
      </c>
      <c r="O143" t="n">
        <v>34</v>
      </c>
      <c r="P143" t="n">
        <v>2028</v>
      </c>
      <c r="Q143" t="n">
        <v>31</v>
      </c>
      <c r="R143" t="n">
        <v>96</v>
      </c>
      <c r="S143" t="n">
        <v>66</v>
      </c>
    </row>
    <row r="144">
      <c r="A144" t="n">
        <v>143</v>
      </c>
      <c r="B144" s="2" t="inlineStr">
        <is>
          <t>Medium</t>
        </is>
      </c>
      <c r="C144" t="inlineStr">
        <is>
          <t>Launch Power &amp; Energy Centre of Excellence</t>
        </is>
      </c>
      <c r="D144" t="inlineStr">
        <is>
          <t>Power &amp; Energy</t>
        </is>
      </c>
      <c r="E144" t="inlineStr">
        <is>
          <t>Energy Dept</t>
        </is>
      </c>
      <c r="F144" t="inlineStr">
        <is>
          <t>Bareilly</t>
        </is>
      </c>
      <c r="G144" t="inlineStr">
        <is>
          <t>2027-2030</t>
        </is>
      </c>
      <c r="H144" t="inlineStr">
        <is>
          <t>ITI Conversion</t>
        </is>
      </c>
      <c r="I144" t="inlineStr">
        <is>
          <t>Under Review</t>
        </is>
      </c>
      <c r="J144" t="n">
        <v>20674</v>
      </c>
      <c r="K144" t="n">
        <v>13555</v>
      </c>
      <c r="L144" t="n">
        <v>7119</v>
      </c>
      <c r="M144" t="n">
        <v>34.4</v>
      </c>
      <c r="N144" t="n">
        <v>116.38</v>
      </c>
      <c r="O144" t="n">
        <v>9</v>
      </c>
      <c r="P144" t="n">
        <v>2025</v>
      </c>
      <c r="Q144" t="n">
        <v>41</v>
      </c>
      <c r="R144" t="n">
        <v>97</v>
      </c>
      <c r="S144" t="n">
        <v>83</v>
      </c>
    </row>
    <row r="145">
      <c r="A145" t="n">
        <v>144</v>
      </c>
      <c r="B145" s="3" t="inlineStr">
        <is>
          <t>Critical</t>
        </is>
      </c>
      <c r="C145" t="inlineStr">
        <is>
          <t>Build Defence talent corridor</t>
        </is>
      </c>
      <c r="D145" t="inlineStr">
        <is>
          <t>Defence</t>
        </is>
      </c>
      <c r="E145" t="inlineStr">
        <is>
          <t>UP Defence Corridor Authority</t>
        </is>
      </c>
      <c r="F145" t="inlineStr">
        <is>
          <t>Aligarh</t>
        </is>
      </c>
      <c r="G145" t="inlineStr">
        <is>
          <t>2028-2030</t>
        </is>
      </c>
      <c r="H145" t="inlineStr">
        <is>
          <t>Fast-track Hiring</t>
        </is>
      </c>
      <c r="I145" t="inlineStr">
        <is>
          <t>Proposed</t>
        </is>
      </c>
      <c r="J145" t="n">
        <v>5004</v>
      </c>
      <c r="K145" t="n">
        <v>519</v>
      </c>
      <c r="L145" t="n">
        <v>4485</v>
      </c>
      <c r="M145" t="n">
        <v>89.59999999999999</v>
      </c>
      <c r="N145" t="n">
        <v>265.07</v>
      </c>
      <c r="O145" t="n">
        <v>16</v>
      </c>
      <c r="P145" t="n">
        <v>2026</v>
      </c>
      <c r="Q145" t="n">
        <v>31</v>
      </c>
      <c r="R145" t="n">
        <v>81</v>
      </c>
      <c r="S145" t="n">
        <v>91</v>
      </c>
    </row>
    <row r="146">
      <c r="A146" t="n">
        <v>145</v>
      </c>
      <c r="B146" s="4" t="inlineStr">
        <is>
          <t>High</t>
        </is>
      </c>
      <c r="C146" t="inlineStr">
        <is>
          <t>Industry-academia link for Power &amp; Energy</t>
        </is>
      </c>
      <c r="D146" t="inlineStr">
        <is>
          <t>Power &amp; Energy</t>
        </is>
      </c>
      <c r="E146" t="inlineStr">
        <is>
          <t>UPPCL</t>
        </is>
      </c>
      <c r="F146" t="inlineStr">
        <is>
          <t>Kanpur</t>
        </is>
      </c>
      <c r="G146" t="inlineStr">
        <is>
          <t>2025-2026</t>
        </is>
      </c>
      <c r="H146" t="inlineStr">
        <is>
          <t>Certification Program</t>
        </is>
      </c>
      <c r="I146" t="inlineStr">
        <is>
          <t>Under Review</t>
        </is>
      </c>
      <c r="J146" t="n">
        <v>24705</v>
      </c>
      <c r="K146" t="n">
        <v>15868</v>
      </c>
      <c r="L146" t="n">
        <v>8837</v>
      </c>
      <c r="M146" t="n">
        <v>35.8</v>
      </c>
      <c r="N146" t="n">
        <v>449.73</v>
      </c>
      <c r="O146" t="n">
        <v>17</v>
      </c>
      <c r="P146" t="n">
        <v>2025</v>
      </c>
      <c r="Q146" t="n">
        <v>54</v>
      </c>
      <c r="R146" t="n">
        <v>81</v>
      </c>
      <c r="S146" t="n">
        <v>61</v>
      </c>
    </row>
    <row r="147">
      <c r="A147" t="n">
        <v>146</v>
      </c>
      <c r="B147" s="4" t="inlineStr">
        <is>
          <t>High</t>
        </is>
      </c>
      <c r="C147" t="inlineStr">
        <is>
          <t>Certification roll-out for Police &amp; Home</t>
        </is>
      </c>
      <c r="D147" t="inlineStr">
        <is>
          <t>Police &amp; Home</t>
        </is>
      </c>
      <c r="E147" t="inlineStr">
        <is>
          <t>UP Police</t>
        </is>
      </c>
      <c r="F147" t="inlineStr">
        <is>
          <t>Gorakhpur</t>
        </is>
      </c>
      <c r="G147" t="inlineStr">
        <is>
          <t>2025-2026</t>
        </is>
      </c>
      <c r="H147" t="inlineStr">
        <is>
          <t>Skilling</t>
        </is>
      </c>
      <c r="I147" t="inlineStr">
        <is>
          <t>Approved</t>
        </is>
      </c>
      <c r="J147" t="n">
        <v>20251</v>
      </c>
      <c r="K147" t="n">
        <v>3654</v>
      </c>
      <c r="L147" t="n">
        <v>16597</v>
      </c>
      <c r="M147" t="n">
        <v>82</v>
      </c>
      <c r="N147" t="n">
        <v>471.87</v>
      </c>
      <c r="O147" t="n">
        <v>24</v>
      </c>
      <c r="P147" t="n">
        <v>2027</v>
      </c>
      <c r="Q147" t="n">
        <v>34</v>
      </c>
      <c r="R147" t="n">
        <v>84</v>
      </c>
      <c r="S147" t="n">
        <v>91</v>
      </c>
    </row>
    <row r="148">
      <c r="A148" t="n">
        <v>147</v>
      </c>
      <c r="B148" s="5" t="inlineStr">
        <is>
          <t>Low</t>
        </is>
      </c>
      <c r="C148" t="inlineStr">
        <is>
          <t>PPP for EV &amp; Mobility apprenticeships</t>
        </is>
      </c>
      <c r="D148" t="inlineStr">
        <is>
          <t>EV &amp; Mobility</t>
        </is>
      </c>
      <c r="E148" t="inlineStr">
        <is>
          <t>Transport Dept</t>
        </is>
      </c>
      <c r="F148" t="inlineStr">
        <is>
          <t>Moradabad</t>
        </is>
      </c>
      <c r="G148" t="inlineStr">
        <is>
          <t>2026-2028</t>
        </is>
      </c>
      <c r="H148" t="inlineStr">
        <is>
          <t>Centre of Excellence</t>
        </is>
      </c>
      <c r="I148" t="inlineStr">
        <is>
          <t>Proposed</t>
        </is>
      </c>
      <c r="J148" t="n">
        <v>5824</v>
      </c>
      <c r="K148" t="n">
        <v>3775</v>
      </c>
      <c r="L148" t="n">
        <v>2049</v>
      </c>
      <c r="M148" t="n">
        <v>35.2</v>
      </c>
      <c r="N148" t="n">
        <v>311.88</v>
      </c>
      <c r="O148" t="n">
        <v>17</v>
      </c>
      <c r="P148" t="n">
        <v>2026</v>
      </c>
      <c r="Q148" t="n">
        <v>51</v>
      </c>
      <c r="R148" t="n">
        <v>55</v>
      </c>
      <c r="S148" t="n">
        <v>97</v>
      </c>
    </row>
    <row r="149">
      <c r="A149" t="n">
        <v>148</v>
      </c>
      <c r="B149" s="4" t="inlineStr">
        <is>
          <t>High</t>
        </is>
      </c>
      <c r="C149" t="inlineStr">
        <is>
          <t>Launch Agriculture &amp; Food Processing Centre of Excellence</t>
        </is>
      </c>
      <c r="D149" t="inlineStr">
        <is>
          <t>Agriculture &amp; Food Processing</t>
        </is>
      </c>
      <c r="E149" t="inlineStr">
        <is>
          <t>Agriculture Dept</t>
        </is>
      </c>
      <c r="F149" t="inlineStr">
        <is>
          <t>Ayodhya</t>
        </is>
      </c>
      <c r="G149" t="inlineStr">
        <is>
          <t>2026-2030</t>
        </is>
      </c>
      <c r="H149" t="inlineStr">
        <is>
          <t>University Tie-up</t>
        </is>
      </c>
      <c r="I149" t="inlineStr">
        <is>
          <t>Approved</t>
        </is>
      </c>
      <c r="J149" t="n">
        <v>13634</v>
      </c>
      <c r="K149" t="n">
        <v>8206</v>
      </c>
      <c r="L149" t="n">
        <v>5428</v>
      </c>
      <c r="M149" t="n">
        <v>39.8</v>
      </c>
      <c r="N149" t="n">
        <v>90.33</v>
      </c>
      <c r="O149" t="n">
        <v>14</v>
      </c>
      <c r="P149" t="n">
        <v>2025</v>
      </c>
      <c r="Q149" t="n">
        <v>1</v>
      </c>
      <c r="R149" t="n">
        <v>85</v>
      </c>
      <c r="S149" t="n">
        <v>70</v>
      </c>
    </row>
    <row r="150">
      <c r="A150" t="n">
        <v>149</v>
      </c>
      <c r="B150" s="4" t="inlineStr">
        <is>
          <t>High</t>
        </is>
      </c>
      <c r="C150" t="inlineStr">
        <is>
          <t>Reskilling drive for Urban Development</t>
        </is>
      </c>
      <c r="D150" t="inlineStr">
        <is>
          <t>Urban Development</t>
        </is>
      </c>
      <c r="E150" t="inlineStr">
        <is>
          <t>Housing Board</t>
        </is>
      </c>
      <c r="F150" t="inlineStr">
        <is>
          <t>Bareilly</t>
        </is>
      </c>
      <c r="G150" t="inlineStr">
        <is>
          <t>2026-2028</t>
        </is>
      </c>
      <c r="H150" t="inlineStr">
        <is>
          <t>ITI Conversion</t>
        </is>
      </c>
      <c r="I150" t="inlineStr">
        <is>
          <t>Pending Funding</t>
        </is>
      </c>
      <c r="J150" t="n">
        <v>19272</v>
      </c>
      <c r="K150" t="n">
        <v>2092</v>
      </c>
      <c r="L150" t="n">
        <v>17180</v>
      </c>
      <c r="M150" t="n">
        <v>89.09999999999999</v>
      </c>
      <c r="N150" t="n">
        <v>314.46</v>
      </c>
      <c r="O150" t="n">
        <v>21</v>
      </c>
      <c r="P150" t="n">
        <v>2025</v>
      </c>
      <c r="Q150" t="n">
        <v>30</v>
      </c>
      <c r="R150" t="n">
        <v>58</v>
      </c>
      <c r="S150" t="n">
        <v>92</v>
      </c>
    </row>
    <row r="151">
      <c r="A151" t="n">
        <v>150</v>
      </c>
      <c r="B151" s="4" t="inlineStr">
        <is>
          <t>High</t>
        </is>
      </c>
      <c r="C151" t="inlineStr">
        <is>
          <t>Build Agriculture &amp; Food Processing talent corridor</t>
        </is>
      </c>
      <c r="D151" t="inlineStr">
        <is>
          <t>Agriculture &amp; Food Processing</t>
        </is>
      </c>
      <c r="E151" t="inlineStr">
        <is>
          <t>Agriculture Dept</t>
        </is>
      </c>
      <c r="F151" t="inlineStr">
        <is>
          <t>Multi-district</t>
        </is>
      </c>
      <c r="G151" t="inlineStr">
        <is>
          <t>2028-2030</t>
        </is>
      </c>
      <c r="H151" t="inlineStr">
        <is>
          <t>ITI Conversion</t>
        </is>
      </c>
      <c r="I151" t="inlineStr">
        <is>
          <t>Proposed</t>
        </is>
      </c>
      <c r="J151" t="n">
        <v>10167</v>
      </c>
      <c r="K151" t="n">
        <v>3819</v>
      </c>
      <c r="L151" t="n">
        <v>6348</v>
      </c>
      <c r="M151" t="n">
        <v>62.4</v>
      </c>
      <c r="N151" t="n">
        <v>107.57</v>
      </c>
      <c r="O151" t="n">
        <v>14</v>
      </c>
      <c r="P151" t="n">
        <v>2026</v>
      </c>
      <c r="Q151" t="n">
        <v>48</v>
      </c>
      <c r="R151" t="n">
        <v>85</v>
      </c>
      <c r="S151" t="n">
        <v>59</v>
      </c>
    </row>
    <row r="152">
      <c r="A152" t="n">
        <v>151</v>
      </c>
      <c r="B152" s="4" t="inlineStr">
        <is>
          <t>High</t>
        </is>
      </c>
      <c r="C152" t="inlineStr">
        <is>
          <t>Build Textile &amp; Apparel talent corridor</t>
        </is>
      </c>
      <c r="D152" t="inlineStr">
        <is>
          <t>Textile &amp; Apparel</t>
        </is>
      </c>
      <c r="E152" t="inlineStr">
        <is>
          <t>Handloom &amp; Textiles Dept</t>
        </is>
      </c>
      <c r="F152" t="inlineStr">
        <is>
          <t>Saharanpur</t>
        </is>
      </c>
      <c r="G152" t="inlineStr">
        <is>
          <t>2027-2030</t>
        </is>
      </c>
      <c r="H152" t="inlineStr">
        <is>
          <t>Centre of Excellence</t>
        </is>
      </c>
      <c r="I152" t="inlineStr">
        <is>
          <t>Under Review</t>
        </is>
      </c>
      <c r="J152" t="n">
        <v>20023</v>
      </c>
      <c r="K152" t="n">
        <v>15114</v>
      </c>
      <c r="L152" t="n">
        <v>4909</v>
      </c>
      <c r="M152" t="n">
        <v>24.5</v>
      </c>
      <c r="N152" t="n">
        <v>41.13</v>
      </c>
      <c r="O152" t="n">
        <v>34</v>
      </c>
      <c r="P152" t="n">
        <v>2026</v>
      </c>
      <c r="Q152" t="n">
        <v>5</v>
      </c>
      <c r="R152" t="n">
        <v>88</v>
      </c>
      <c r="S152" t="n">
        <v>95</v>
      </c>
    </row>
    <row r="153">
      <c r="A153" t="n">
        <v>152</v>
      </c>
      <c r="B153" s="3" t="inlineStr">
        <is>
          <t>Critical</t>
        </is>
      </c>
      <c r="C153" t="inlineStr">
        <is>
          <t>Fast-track recruitment for Logistics &amp; Warehousing</t>
        </is>
      </c>
      <c r="D153" t="inlineStr">
        <is>
          <t>Logistics &amp; Warehousing</t>
        </is>
      </c>
      <c r="E153" t="inlineStr">
        <is>
          <t>Industries Dept</t>
        </is>
      </c>
      <c r="F153" t="inlineStr">
        <is>
          <t>Multi-district</t>
        </is>
      </c>
      <c r="G153" t="inlineStr">
        <is>
          <t>2025-2027</t>
        </is>
      </c>
      <c r="H153" t="inlineStr">
        <is>
          <t>Certification Program</t>
        </is>
      </c>
      <c r="I153" t="inlineStr">
        <is>
          <t>Pending Funding</t>
        </is>
      </c>
      <c r="J153" t="n">
        <v>5891</v>
      </c>
      <c r="K153" t="n">
        <v>2038</v>
      </c>
      <c r="L153" t="n">
        <v>3853</v>
      </c>
      <c r="M153" t="n">
        <v>65.40000000000001</v>
      </c>
      <c r="N153" t="n">
        <v>250.72</v>
      </c>
      <c r="O153" t="n">
        <v>13</v>
      </c>
      <c r="P153" t="n">
        <v>2028</v>
      </c>
      <c r="Q153" t="n">
        <v>38</v>
      </c>
      <c r="R153" t="n">
        <v>98</v>
      </c>
      <c r="S153" t="n">
        <v>63</v>
      </c>
    </row>
    <row r="154">
      <c r="A154" t="n">
        <v>153</v>
      </c>
      <c r="B154" s="5" t="inlineStr">
        <is>
          <t>Low</t>
        </is>
      </c>
      <c r="C154" t="inlineStr">
        <is>
          <t>Industry-academia link for EV &amp; Mobility</t>
        </is>
      </c>
      <c r="D154" t="inlineStr">
        <is>
          <t>EV &amp; Mobility</t>
        </is>
      </c>
      <c r="E154" t="inlineStr">
        <is>
          <t>Transport Dept</t>
        </is>
      </c>
      <c r="F154" t="inlineStr">
        <is>
          <t>Moradabad</t>
        </is>
      </c>
      <c r="G154" t="inlineStr">
        <is>
          <t>2025-2026</t>
        </is>
      </c>
      <c r="H154" t="inlineStr">
        <is>
          <t>Fast-track Hiring</t>
        </is>
      </c>
      <c r="I154" t="inlineStr">
        <is>
          <t>Under Review</t>
        </is>
      </c>
      <c r="J154" t="n">
        <v>14112</v>
      </c>
      <c r="K154" t="n">
        <v>6245</v>
      </c>
      <c r="L154" t="n">
        <v>7867</v>
      </c>
      <c r="M154" t="n">
        <v>55.7</v>
      </c>
      <c r="N154" t="n">
        <v>29.6</v>
      </c>
      <c r="O154" t="n">
        <v>35</v>
      </c>
      <c r="P154" t="n">
        <v>2028</v>
      </c>
      <c r="Q154" t="n">
        <v>2</v>
      </c>
      <c r="R154" t="n">
        <v>98</v>
      </c>
      <c r="S154" t="n">
        <v>69</v>
      </c>
    </row>
    <row r="155">
      <c r="A155" t="n">
        <v>154</v>
      </c>
      <c r="B155" s="2" t="inlineStr">
        <is>
          <t>Medium</t>
        </is>
      </c>
      <c r="C155" t="inlineStr">
        <is>
          <t>Police &amp; Home cadre restructuring</t>
        </is>
      </c>
      <c r="D155" t="inlineStr">
        <is>
          <t>Police &amp; Home</t>
        </is>
      </c>
      <c r="E155" t="inlineStr">
        <is>
          <t>UP Police</t>
        </is>
      </c>
      <c r="F155" t="inlineStr">
        <is>
          <t>Agra</t>
        </is>
      </c>
      <c r="G155" t="inlineStr">
        <is>
          <t>2027-2030</t>
        </is>
      </c>
      <c r="H155" t="inlineStr">
        <is>
          <t>Recruitment</t>
        </is>
      </c>
      <c r="I155" t="inlineStr">
        <is>
          <t>Proposed</t>
        </is>
      </c>
      <c r="J155" t="n">
        <v>11789</v>
      </c>
      <c r="K155" t="n">
        <v>7371</v>
      </c>
      <c r="L155" t="n">
        <v>4418</v>
      </c>
      <c r="M155" t="n">
        <v>37.5</v>
      </c>
      <c r="N155" t="n">
        <v>260.68</v>
      </c>
      <c r="O155" t="n">
        <v>9</v>
      </c>
      <c r="P155" t="n">
        <v>2025</v>
      </c>
      <c r="Q155" t="n">
        <v>19</v>
      </c>
      <c r="R155" t="n">
        <v>59</v>
      </c>
      <c r="S155" t="n">
        <v>80</v>
      </c>
    </row>
    <row r="156">
      <c r="A156" t="n">
        <v>155</v>
      </c>
      <c r="B156" s="2" t="inlineStr">
        <is>
          <t>Medium</t>
        </is>
      </c>
      <c r="C156" t="inlineStr">
        <is>
          <t>Revenue cadre restructuring</t>
        </is>
      </c>
      <c r="D156" t="inlineStr">
        <is>
          <t>Revenue</t>
        </is>
      </c>
      <c r="E156" t="inlineStr">
        <is>
          <t>Revenue Dept</t>
        </is>
      </c>
      <c r="F156" t="inlineStr">
        <is>
          <t>Mathura</t>
        </is>
      </c>
      <c r="G156" t="inlineStr">
        <is>
          <t>2026-2028</t>
        </is>
      </c>
      <c r="H156" t="inlineStr">
        <is>
          <t>Apprenticeship</t>
        </is>
      </c>
      <c r="I156" t="inlineStr">
        <is>
          <t>In Execution</t>
        </is>
      </c>
      <c r="J156" t="n">
        <v>12809</v>
      </c>
      <c r="K156" t="n">
        <v>2051</v>
      </c>
      <c r="L156" t="n">
        <v>10758</v>
      </c>
      <c r="M156" t="n">
        <v>84</v>
      </c>
      <c r="N156" t="n">
        <v>462.86</v>
      </c>
      <c r="O156" t="n">
        <v>40</v>
      </c>
      <c r="P156" t="n">
        <v>2026</v>
      </c>
      <c r="Q156" t="n">
        <v>8</v>
      </c>
      <c r="R156" t="n">
        <v>63</v>
      </c>
      <c r="S156" t="n">
        <v>91</v>
      </c>
    </row>
    <row r="157">
      <c r="A157" t="n">
        <v>156</v>
      </c>
      <c r="B157" s="4" t="inlineStr">
        <is>
          <t>High</t>
        </is>
      </c>
      <c r="C157" t="inlineStr">
        <is>
          <t>Scale Transport workforce pipeline</t>
        </is>
      </c>
      <c r="D157" t="inlineStr">
        <is>
          <t>Transport</t>
        </is>
      </c>
      <c r="E157" t="inlineStr">
        <is>
          <t>Metro Rail Corp</t>
        </is>
      </c>
      <c r="F157" t="inlineStr">
        <is>
          <t>Varanasi</t>
        </is>
      </c>
      <c r="G157" t="inlineStr">
        <is>
          <t>2028-2030</t>
        </is>
      </c>
      <c r="H157" t="inlineStr">
        <is>
          <t>Centre of Excellence</t>
        </is>
      </c>
      <c r="I157" t="inlineStr">
        <is>
          <t>Proposed</t>
        </is>
      </c>
      <c r="J157" t="n">
        <v>10276</v>
      </c>
      <c r="K157" t="n">
        <v>4595</v>
      </c>
      <c r="L157" t="n">
        <v>5681</v>
      </c>
      <c r="M157" t="n">
        <v>55.3</v>
      </c>
      <c r="N157" t="n">
        <v>345.73</v>
      </c>
      <c r="O157" t="n">
        <v>33</v>
      </c>
      <c r="P157" t="n">
        <v>2025</v>
      </c>
      <c r="Q157" t="n">
        <v>16</v>
      </c>
      <c r="R157" t="n">
        <v>89</v>
      </c>
      <c r="S157" t="n">
        <v>74</v>
      </c>
    </row>
    <row r="158">
      <c r="A158" t="n">
        <v>157</v>
      </c>
      <c r="B158" s="4" t="inlineStr">
        <is>
          <t>High</t>
        </is>
      </c>
      <c r="C158" t="inlineStr">
        <is>
          <t>Build Skill Development talent corridor</t>
        </is>
      </c>
      <c r="D158" t="inlineStr">
        <is>
          <t>Skill Development</t>
        </is>
      </c>
      <c r="E158" t="inlineStr">
        <is>
          <t>ITI Directorate</t>
        </is>
      </c>
      <c r="F158" t="inlineStr">
        <is>
          <t>Agra</t>
        </is>
      </c>
      <c r="G158" t="inlineStr">
        <is>
          <t>2028-2030</t>
        </is>
      </c>
      <c r="H158" t="inlineStr">
        <is>
          <t>Recruitment</t>
        </is>
      </c>
      <c r="I158" t="inlineStr">
        <is>
          <t>Proposed</t>
        </is>
      </c>
      <c r="J158" t="n">
        <v>14237</v>
      </c>
      <c r="K158" t="n">
        <v>7989</v>
      </c>
      <c r="L158" t="n">
        <v>6248</v>
      </c>
      <c r="M158" t="n">
        <v>43.9</v>
      </c>
      <c r="N158" t="n">
        <v>449.52</v>
      </c>
      <c r="O158" t="n">
        <v>7</v>
      </c>
      <c r="P158" t="n">
        <v>2025</v>
      </c>
      <c r="Q158" t="n">
        <v>7</v>
      </c>
      <c r="R158" t="n">
        <v>70</v>
      </c>
      <c r="S158" t="n">
        <v>63</v>
      </c>
    </row>
    <row r="159">
      <c r="A159" t="n">
        <v>158</v>
      </c>
      <c r="B159" s="4" t="inlineStr">
        <is>
          <t>High</t>
        </is>
      </c>
      <c r="C159" t="inlineStr">
        <is>
          <t>Expand Textile &amp; Apparel training capacity</t>
        </is>
      </c>
      <c r="D159" t="inlineStr">
        <is>
          <t>Textile &amp; Apparel</t>
        </is>
      </c>
      <c r="E159" t="inlineStr">
        <is>
          <t>Handloom &amp; Textiles Dept</t>
        </is>
      </c>
      <c r="F159" t="inlineStr">
        <is>
          <t>Kanpur</t>
        </is>
      </c>
      <c r="G159" t="inlineStr">
        <is>
          <t>2025-2027</t>
        </is>
      </c>
      <c r="H159" t="inlineStr">
        <is>
          <t>Skilling</t>
        </is>
      </c>
      <c r="I159" t="inlineStr">
        <is>
          <t>In Execution</t>
        </is>
      </c>
      <c r="J159" t="n">
        <v>8178</v>
      </c>
      <c r="K159" t="n">
        <v>4128</v>
      </c>
      <c r="L159" t="n">
        <v>4050</v>
      </c>
      <c r="M159" t="n">
        <v>49.5</v>
      </c>
      <c r="N159" t="n">
        <v>362.6</v>
      </c>
      <c r="O159" t="n">
        <v>9</v>
      </c>
      <c r="P159" t="n">
        <v>2026</v>
      </c>
      <c r="Q159" t="n">
        <v>15</v>
      </c>
      <c r="R159" t="n">
        <v>63</v>
      </c>
      <c r="S159" t="n">
        <v>82</v>
      </c>
    </row>
    <row r="160">
      <c r="A160" t="n">
        <v>159</v>
      </c>
      <c r="B160" s="2" t="inlineStr">
        <is>
          <t>Medium</t>
        </is>
      </c>
      <c r="C160" t="inlineStr">
        <is>
          <t>Build Logistics &amp; Warehousing talent corridor</t>
        </is>
      </c>
      <c r="D160" t="inlineStr">
        <is>
          <t>Logistics &amp; Warehousing</t>
        </is>
      </c>
      <c r="E160" t="inlineStr">
        <is>
          <t>UPSIDA</t>
        </is>
      </c>
      <c r="F160" t="inlineStr">
        <is>
          <t>Aligarh</t>
        </is>
      </c>
      <c r="G160" t="inlineStr">
        <is>
          <t>2025-2027</t>
        </is>
      </c>
      <c r="H160" t="inlineStr">
        <is>
          <t>ITI Conversion</t>
        </is>
      </c>
      <c r="I160" t="inlineStr">
        <is>
          <t>Under Review</t>
        </is>
      </c>
      <c r="J160" t="n">
        <v>17580</v>
      </c>
      <c r="K160" t="n">
        <v>4672</v>
      </c>
      <c r="L160" t="n">
        <v>12908</v>
      </c>
      <c r="M160" t="n">
        <v>73.40000000000001</v>
      </c>
      <c r="N160" t="n">
        <v>145.64</v>
      </c>
      <c r="O160" t="n">
        <v>9</v>
      </c>
      <c r="P160" t="n">
        <v>2028</v>
      </c>
      <c r="Q160" t="n">
        <v>59</v>
      </c>
      <c r="R160" t="n">
        <v>90</v>
      </c>
      <c r="S160" t="n">
        <v>87</v>
      </c>
    </row>
    <row r="161">
      <c r="A161" t="n">
        <v>160</v>
      </c>
      <c r="B161" s="2" t="inlineStr">
        <is>
          <t>Medium</t>
        </is>
      </c>
      <c r="C161" t="inlineStr">
        <is>
          <t>Industry-academia link for Transport</t>
        </is>
      </c>
      <c r="D161" t="inlineStr">
        <is>
          <t>Transport</t>
        </is>
      </c>
      <c r="E161" t="inlineStr">
        <is>
          <t>Metro Rail Corp</t>
        </is>
      </c>
      <c r="F161" t="inlineStr">
        <is>
          <t>Saharanpur</t>
        </is>
      </c>
      <c r="G161" t="inlineStr">
        <is>
          <t>2025-2026</t>
        </is>
      </c>
      <c r="H161" t="inlineStr">
        <is>
          <t>PPP Partnership</t>
        </is>
      </c>
      <c r="I161" t="inlineStr">
        <is>
          <t>In Execution</t>
        </is>
      </c>
      <c r="J161" t="n">
        <v>10944</v>
      </c>
      <c r="K161" t="n">
        <v>6809</v>
      </c>
      <c r="L161" t="n">
        <v>4135</v>
      </c>
      <c r="M161" t="n">
        <v>37.8</v>
      </c>
      <c r="N161" t="n">
        <v>197.15</v>
      </c>
      <c r="O161" t="n">
        <v>25</v>
      </c>
      <c r="P161" t="n">
        <v>2027</v>
      </c>
      <c r="Q161" t="n">
        <v>31</v>
      </c>
      <c r="R161" t="n">
        <v>79</v>
      </c>
      <c r="S161" t="n">
        <v>61</v>
      </c>
    </row>
    <row r="162">
      <c r="A162" t="n">
        <v>161</v>
      </c>
      <c r="B162" s="4" t="inlineStr">
        <is>
          <t>High</t>
        </is>
      </c>
      <c r="C162" t="inlineStr">
        <is>
          <t>Defence cadre restructuring</t>
        </is>
      </c>
      <c r="D162" t="inlineStr">
        <is>
          <t>Defence</t>
        </is>
      </c>
      <c r="E162" t="inlineStr">
        <is>
          <t>UP Defence Corridor Authority</t>
        </is>
      </c>
      <c r="F162" t="inlineStr">
        <is>
          <t>Varanasi</t>
        </is>
      </c>
      <c r="G162" t="inlineStr">
        <is>
          <t>2026-2030</t>
        </is>
      </c>
      <c r="H162" t="inlineStr">
        <is>
          <t>Skilling</t>
        </is>
      </c>
      <c r="I162" t="inlineStr">
        <is>
          <t>Pending Funding</t>
        </is>
      </c>
      <c r="J162" t="n">
        <v>14148</v>
      </c>
      <c r="K162" t="n">
        <v>7328</v>
      </c>
      <c r="L162" t="n">
        <v>6820</v>
      </c>
      <c r="M162" t="n">
        <v>48.2</v>
      </c>
      <c r="N162" t="n">
        <v>66.09999999999999</v>
      </c>
      <c r="O162" t="n">
        <v>21</v>
      </c>
      <c r="P162" t="n">
        <v>2026</v>
      </c>
      <c r="Q162" t="n">
        <v>42</v>
      </c>
      <c r="R162" t="n">
        <v>71</v>
      </c>
      <c r="S162" t="n">
        <v>63</v>
      </c>
    </row>
    <row r="163">
      <c r="A163" t="n">
        <v>162</v>
      </c>
      <c r="B163" s="2" t="inlineStr">
        <is>
          <t>Medium</t>
        </is>
      </c>
      <c r="C163" t="inlineStr">
        <is>
          <t>Establish Manufacturing skilling hub</t>
        </is>
      </c>
      <c r="D163" t="inlineStr">
        <is>
          <t>Manufacturing</t>
        </is>
      </c>
      <c r="E163" t="inlineStr">
        <is>
          <t>MSME Dept</t>
        </is>
      </c>
      <c r="F163" t="inlineStr">
        <is>
          <t>Noida</t>
        </is>
      </c>
      <c r="G163" t="inlineStr">
        <is>
          <t>2027-2030</t>
        </is>
      </c>
      <c r="H163" t="inlineStr">
        <is>
          <t>Centre of Excellence</t>
        </is>
      </c>
      <c r="I163" t="inlineStr">
        <is>
          <t>Proposed</t>
        </is>
      </c>
      <c r="J163" t="n">
        <v>12859</v>
      </c>
      <c r="K163" t="n">
        <v>7782</v>
      </c>
      <c r="L163" t="n">
        <v>5077</v>
      </c>
      <c r="M163" t="n">
        <v>39.5</v>
      </c>
      <c r="N163" t="n">
        <v>290.2</v>
      </c>
      <c r="O163" t="n">
        <v>10</v>
      </c>
      <c r="P163" t="n">
        <v>2027</v>
      </c>
      <c r="Q163" t="n">
        <v>47</v>
      </c>
      <c r="R163" t="n">
        <v>67</v>
      </c>
      <c r="S163" t="n">
        <v>98</v>
      </c>
    </row>
    <row r="164">
      <c r="A164" t="n">
        <v>163</v>
      </c>
      <c r="B164" s="4" t="inlineStr">
        <is>
          <t>High</t>
        </is>
      </c>
      <c r="C164" t="inlineStr">
        <is>
          <t>ITI conversion to Pharma &amp; Biotech curriculum</t>
        </is>
      </c>
      <c r="D164" t="inlineStr">
        <is>
          <t>Pharma &amp; Biotech</t>
        </is>
      </c>
      <c r="E164" t="inlineStr">
        <is>
          <t>Drugs Control</t>
        </is>
      </c>
      <c r="F164" t="inlineStr">
        <is>
          <t>Aligarh</t>
        </is>
      </c>
      <c r="G164" t="inlineStr">
        <is>
          <t>2026-2028</t>
        </is>
      </c>
      <c r="H164" t="inlineStr">
        <is>
          <t>Skilling</t>
        </is>
      </c>
      <c r="I164" t="inlineStr">
        <is>
          <t>Under Review</t>
        </is>
      </c>
      <c r="J164" t="n">
        <v>24796</v>
      </c>
      <c r="K164" t="n">
        <v>4661</v>
      </c>
      <c r="L164" t="n">
        <v>20135</v>
      </c>
      <c r="M164" t="n">
        <v>81.2</v>
      </c>
      <c r="N164" t="n">
        <v>479.8</v>
      </c>
      <c r="O164" t="n">
        <v>36</v>
      </c>
      <c r="P164" t="n">
        <v>2027</v>
      </c>
      <c r="Q164" t="n">
        <v>46</v>
      </c>
      <c r="R164" t="n">
        <v>70</v>
      </c>
      <c r="S164" t="n">
        <v>94</v>
      </c>
    </row>
    <row r="165">
      <c r="A165" t="n">
        <v>164</v>
      </c>
      <c r="B165" s="5" t="inlineStr">
        <is>
          <t>Low</t>
        </is>
      </c>
      <c r="C165" t="inlineStr">
        <is>
          <t>Industry-academia link for Power &amp; Energy</t>
        </is>
      </c>
      <c r="D165" t="inlineStr">
        <is>
          <t>Power &amp; Energy</t>
        </is>
      </c>
      <c r="E165" t="inlineStr">
        <is>
          <t>UPPCL</t>
        </is>
      </c>
      <c r="F165" t="inlineStr">
        <is>
          <t>Aligarh</t>
        </is>
      </c>
      <c r="G165" t="inlineStr">
        <is>
          <t>2026-2028</t>
        </is>
      </c>
      <c r="H165" t="inlineStr">
        <is>
          <t>Apprenticeship</t>
        </is>
      </c>
      <c r="I165" t="inlineStr">
        <is>
          <t>In Execution</t>
        </is>
      </c>
      <c r="J165" t="n">
        <v>21757</v>
      </c>
      <c r="K165" t="n">
        <v>8038</v>
      </c>
      <c r="L165" t="n">
        <v>13719</v>
      </c>
      <c r="M165" t="n">
        <v>63.1</v>
      </c>
      <c r="N165" t="n">
        <v>127.03</v>
      </c>
      <c r="O165" t="n">
        <v>38</v>
      </c>
      <c r="P165" t="n">
        <v>2025</v>
      </c>
      <c r="Q165" t="n">
        <v>52</v>
      </c>
      <c r="R165" t="n">
        <v>86</v>
      </c>
      <c r="S165" t="n">
        <v>79</v>
      </c>
    </row>
    <row r="166">
      <c r="A166" t="n">
        <v>165</v>
      </c>
      <c r="B166" s="5" t="inlineStr">
        <is>
          <t>Low</t>
        </is>
      </c>
      <c r="C166" t="inlineStr">
        <is>
          <t>Certification roll-out for EV &amp; Mobility</t>
        </is>
      </c>
      <c r="D166" t="inlineStr">
        <is>
          <t>EV &amp; Mobility</t>
        </is>
      </c>
      <c r="E166" t="inlineStr">
        <is>
          <t>Industries Dept</t>
        </is>
      </c>
      <c r="F166" t="inlineStr">
        <is>
          <t>Jhansi</t>
        </is>
      </c>
      <c r="G166" t="inlineStr">
        <is>
          <t>2026-2028</t>
        </is>
      </c>
      <c r="H166" t="inlineStr">
        <is>
          <t>Apprenticeship</t>
        </is>
      </c>
      <c r="I166" t="inlineStr">
        <is>
          <t>Proposed</t>
        </is>
      </c>
      <c r="J166" t="n">
        <v>7750</v>
      </c>
      <c r="K166" t="n">
        <v>5083</v>
      </c>
      <c r="L166" t="n">
        <v>2667</v>
      </c>
      <c r="M166" t="n">
        <v>34.4</v>
      </c>
      <c r="N166" t="n">
        <v>9.75</v>
      </c>
      <c r="O166" t="n">
        <v>41</v>
      </c>
      <c r="P166" t="n">
        <v>2028</v>
      </c>
      <c r="Q166" t="n">
        <v>27</v>
      </c>
      <c r="R166" t="n">
        <v>92</v>
      </c>
      <c r="S166" t="n">
        <v>87</v>
      </c>
    </row>
    <row r="167">
      <c r="A167" t="n">
        <v>166</v>
      </c>
      <c r="B167" s="4" t="inlineStr">
        <is>
          <t>High</t>
        </is>
      </c>
      <c r="C167" t="inlineStr">
        <is>
          <t>Expand Agriculture &amp; Food Processing training capacity</t>
        </is>
      </c>
      <c r="D167" t="inlineStr">
        <is>
          <t>Agriculture &amp; Food Processing</t>
        </is>
      </c>
      <c r="E167" t="inlineStr">
        <is>
          <t>Agriculture Dept</t>
        </is>
      </c>
      <c r="F167" t="inlineStr">
        <is>
          <t>Meerut</t>
        </is>
      </c>
      <c r="G167" t="inlineStr">
        <is>
          <t>2026-2030</t>
        </is>
      </c>
      <c r="H167" t="inlineStr">
        <is>
          <t>Certification Program</t>
        </is>
      </c>
      <c r="I167" t="inlineStr">
        <is>
          <t>Under Review</t>
        </is>
      </c>
      <c r="J167" t="n">
        <v>18543</v>
      </c>
      <c r="K167" t="n">
        <v>10958</v>
      </c>
      <c r="L167" t="n">
        <v>7585</v>
      </c>
      <c r="M167" t="n">
        <v>40.9</v>
      </c>
      <c r="N167" t="n">
        <v>329.36</v>
      </c>
      <c r="O167" t="n">
        <v>22</v>
      </c>
      <c r="P167" t="n">
        <v>2028</v>
      </c>
      <c r="Q167" t="n">
        <v>48</v>
      </c>
      <c r="R167" t="n">
        <v>86</v>
      </c>
      <c r="S167" t="n">
        <v>96</v>
      </c>
    </row>
    <row r="168">
      <c r="A168" t="n">
        <v>167</v>
      </c>
      <c r="B168" s="4" t="inlineStr">
        <is>
          <t>High</t>
        </is>
      </c>
      <c r="C168" t="inlineStr">
        <is>
          <t>Expand EV &amp; Mobility training capacity</t>
        </is>
      </c>
      <c r="D168" t="inlineStr">
        <is>
          <t>EV &amp; Mobility</t>
        </is>
      </c>
      <c r="E168" t="inlineStr">
        <is>
          <t>Industries Dept</t>
        </is>
      </c>
      <c r="F168" t="inlineStr">
        <is>
          <t>Jhansi</t>
        </is>
      </c>
      <c r="G168" t="inlineStr">
        <is>
          <t>2025-2027</t>
        </is>
      </c>
      <c r="H168" t="inlineStr">
        <is>
          <t>Curriculum Reform</t>
        </is>
      </c>
      <c r="I168" t="inlineStr">
        <is>
          <t>Pending Funding</t>
        </is>
      </c>
      <c r="J168" t="n">
        <v>6530</v>
      </c>
      <c r="K168" t="n">
        <v>5143</v>
      </c>
      <c r="L168" t="n">
        <v>1387</v>
      </c>
      <c r="M168" t="n">
        <v>21.2</v>
      </c>
      <c r="N168" t="n">
        <v>261.14</v>
      </c>
      <c r="O168" t="n">
        <v>47</v>
      </c>
      <c r="P168" t="n">
        <v>2025</v>
      </c>
      <c r="Q168" t="n">
        <v>54</v>
      </c>
      <c r="R168" t="n">
        <v>58</v>
      </c>
      <c r="S168" t="n">
        <v>83</v>
      </c>
    </row>
    <row r="169">
      <c r="A169" t="n">
        <v>168</v>
      </c>
      <c r="B169" s="3" t="inlineStr">
        <is>
          <t>Critical</t>
        </is>
      </c>
      <c r="C169" t="inlineStr">
        <is>
          <t>Launch Manufacturing Centre of Excellence</t>
        </is>
      </c>
      <c r="D169" t="inlineStr">
        <is>
          <t>Manufacturing</t>
        </is>
      </c>
      <c r="E169" t="inlineStr">
        <is>
          <t>Invest UP</t>
        </is>
      </c>
      <c r="F169" t="inlineStr">
        <is>
          <t>Lucknow</t>
        </is>
      </c>
      <c r="G169" t="inlineStr">
        <is>
          <t>2026-2030</t>
        </is>
      </c>
      <c r="H169" t="inlineStr">
        <is>
          <t>Curriculum Reform</t>
        </is>
      </c>
      <c r="I169" t="inlineStr">
        <is>
          <t>Under Review</t>
        </is>
      </c>
      <c r="J169" t="n">
        <v>23672</v>
      </c>
      <c r="K169" t="n">
        <v>5048</v>
      </c>
      <c r="L169" t="n">
        <v>18624</v>
      </c>
      <c r="M169" t="n">
        <v>78.7</v>
      </c>
      <c r="N169" t="n">
        <v>106.55</v>
      </c>
      <c r="O169" t="n">
        <v>35</v>
      </c>
      <c r="P169" t="n">
        <v>2027</v>
      </c>
      <c r="Q169" t="n">
        <v>41</v>
      </c>
      <c r="R169" t="n">
        <v>78</v>
      </c>
      <c r="S169" t="n">
        <v>53</v>
      </c>
    </row>
    <row r="170">
      <c r="A170" t="n">
        <v>169</v>
      </c>
      <c r="B170" s="2" t="inlineStr">
        <is>
          <t>Medium</t>
        </is>
      </c>
      <c r="C170" t="inlineStr">
        <is>
          <t>Textile &amp; Apparel cadre restructuring</t>
        </is>
      </c>
      <c r="D170" t="inlineStr">
        <is>
          <t>Textile &amp; Apparel</t>
        </is>
      </c>
      <c r="E170" t="inlineStr">
        <is>
          <t>Handloom &amp; Textiles Dept</t>
        </is>
      </c>
      <c r="F170" t="inlineStr">
        <is>
          <t>Lucknow</t>
        </is>
      </c>
      <c r="G170" t="inlineStr">
        <is>
          <t>2025-2026</t>
        </is>
      </c>
      <c r="H170" t="inlineStr">
        <is>
          <t>University Tie-up</t>
        </is>
      </c>
      <c r="I170" t="inlineStr">
        <is>
          <t>Pending Funding</t>
        </is>
      </c>
      <c r="J170" t="n">
        <v>888</v>
      </c>
      <c r="K170" t="n">
        <v>99</v>
      </c>
      <c r="L170" t="n">
        <v>789</v>
      </c>
      <c r="M170" t="n">
        <v>88.90000000000001</v>
      </c>
      <c r="N170" t="n">
        <v>347.21</v>
      </c>
      <c r="O170" t="n">
        <v>40</v>
      </c>
      <c r="P170" t="n">
        <v>2027</v>
      </c>
      <c r="Q170" t="n">
        <v>53</v>
      </c>
      <c r="R170" t="n">
        <v>73</v>
      </c>
      <c r="S170" t="n">
        <v>51</v>
      </c>
    </row>
    <row r="171">
      <c r="A171" t="n">
        <v>170</v>
      </c>
      <c r="B171" s="3" t="inlineStr">
        <is>
          <t>Critical</t>
        </is>
      </c>
      <c r="C171" t="inlineStr">
        <is>
          <t>ITI conversion to Revenue curriculum</t>
        </is>
      </c>
      <c r="D171" t="inlineStr">
        <is>
          <t>Revenue</t>
        </is>
      </c>
      <c r="E171" t="inlineStr">
        <is>
          <t>Revenue Dept</t>
        </is>
      </c>
      <c r="F171" t="inlineStr">
        <is>
          <t>Ghaziabad</t>
        </is>
      </c>
      <c r="G171" t="inlineStr">
        <is>
          <t>2027-2030</t>
        </is>
      </c>
      <c r="H171" t="inlineStr">
        <is>
          <t>Curriculum Reform</t>
        </is>
      </c>
      <c r="I171" t="inlineStr">
        <is>
          <t>Under Review</t>
        </is>
      </c>
      <c r="J171" t="n">
        <v>20808</v>
      </c>
      <c r="K171" t="n">
        <v>10296</v>
      </c>
      <c r="L171" t="n">
        <v>10512</v>
      </c>
      <c r="M171" t="n">
        <v>50.5</v>
      </c>
      <c r="N171" t="n">
        <v>391.67</v>
      </c>
      <c r="O171" t="n">
        <v>23</v>
      </c>
      <c r="P171" t="n">
        <v>2026</v>
      </c>
      <c r="Q171" t="n">
        <v>26</v>
      </c>
      <c r="R171" t="n">
        <v>80</v>
      </c>
      <c r="S171" t="n">
        <v>55</v>
      </c>
    </row>
    <row r="172">
      <c r="A172" t="n">
        <v>171</v>
      </c>
      <c r="B172" s="5" t="inlineStr">
        <is>
          <t>Low</t>
        </is>
      </c>
      <c r="C172" t="inlineStr">
        <is>
          <t>Launch Skill Development Centre of Excellence</t>
        </is>
      </c>
      <c r="D172" t="inlineStr">
        <is>
          <t>Skill Development</t>
        </is>
      </c>
      <c r="E172" t="inlineStr">
        <is>
          <t>UPSDM</t>
        </is>
      </c>
      <c r="F172" t="inlineStr">
        <is>
          <t>Meerut</t>
        </is>
      </c>
      <c r="G172" t="inlineStr">
        <is>
          <t>2026-2028</t>
        </is>
      </c>
      <c r="H172" t="inlineStr">
        <is>
          <t>Recruitment</t>
        </is>
      </c>
      <c r="I172" t="inlineStr">
        <is>
          <t>Proposed</t>
        </is>
      </c>
      <c r="J172" t="n">
        <v>13780</v>
      </c>
      <c r="K172" t="n">
        <v>5297</v>
      </c>
      <c r="L172" t="n">
        <v>8483</v>
      </c>
      <c r="M172" t="n">
        <v>61.6</v>
      </c>
      <c r="N172" t="n">
        <v>266.19</v>
      </c>
      <c r="O172" t="n">
        <v>9</v>
      </c>
      <c r="P172" t="n">
        <v>2028</v>
      </c>
      <c r="Q172" t="n">
        <v>11</v>
      </c>
      <c r="R172" t="n">
        <v>95</v>
      </c>
      <c r="S172" t="n">
        <v>50</v>
      </c>
    </row>
    <row r="173">
      <c r="A173" t="n">
        <v>172</v>
      </c>
      <c r="B173" s="2" t="inlineStr">
        <is>
          <t>Medium</t>
        </is>
      </c>
      <c r="C173" t="inlineStr">
        <is>
          <t>Scale Manufacturing workforce pipeline</t>
        </is>
      </c>
      <c r="D173" t="inlineStr">
        <is>
          <t>Manufacturing</t>
        </is>
      </c>
      <c r="E173" t="inlineStr">
        <is>
          <t>MSME Dept</t>
        </is>
      </c>
      <c r="F173" t="inlineStr">
        <is>
          <t>Aligarh</t>
        </is>
      </c>
      <c r="G173" t="inlineStr">
        <is>
          <t>2027-2030</t>
        </is>
      </c>
      <c r="H173" t="inlineStr">
        <is>
          <t>Recruitment</t>
        </is>
      </c>
      <c r="I173" t="inlineStr">
        <is>
          <t>Pending Funding</t>
        </is>
      </c>
      <c r="J173" t="n">
        <v>8028</v>
      </c>
      <c r="K173" t="n">
        <v>2075</v>
      </c>
      <c r="L173" t="n">
        <v>5953</v>
      </c>
      <c r="M173" t="n">
        <v>74.2</v>
      </c>
      <c r="N173" t="n">
        <v>416.96</v>
      </c>
      <c r="O173" t="n">
        <v>42</v>
      </c>
      <c r="P173" t="n">
        <v>2025</v>
      </c>
      <c r="Q173" t="n">
        <v>60</v>
      </c>
      <c r="R173" t="n">
        <v>85</v>
      </c>
      <c r="S173" t="n">
        <v>67</v>
      </c>
    </row>
    <row r="174">
      <c r="A174" t="n">
        <v>173</v>
      </c>
      <c r="B174" s="5" t="inlineStr">
        <is>
          <t>Low</t>
        </is>
      </c>
      <c r="C174" t="inlineStr">
        <is>
          <t>ITI conversion to Manufacturing curriculum</t>
        </is>
      </c>
      <c r="D174" t="inlineStr">
        <is>
          <t>Manufacturing</t>
        </is>
      </c>
      <c r="E174" t="inlineStr">
        <is>
          <t>Invest UP</t>
        </is>
      </c>
      <c r="F174" t="inlineStr">
        <is>
          <t>Kanpur</t>
        </is>
      </c>
      <c r="G174" t="inlineStr">
        <is>
          <t>2025-2027</t>
        </is>
      </c>
      <c r="H174" t="inlineStr">
        <is>
          <t>PPP Partnership</t>
        </is>
      </c>
      <c r="I174" t="inlineStr">
        <is>
          <t>Proposed</t>
        </is>
      </c>
      <c r="J174" t="n">
        <v>19735</v>
      </c>
      <c r="K174" t="n">
        <v>4107</v>
      </c>
      <c r="L174" t="n">
        <v>15628</v>
      </c>
      <c r="M174" t="n">
        <v>79.2</v>
      </c>
      <c r="N174" t="n">
        <v>394.29</v>
      </c>
      <c r="O174" t="n">
        <v>31</v>
      </c>
      <c r="P174" t="n">
        <v>2025</v>
      </c>
      <c r="Q174" t="n">
        <v>37</v>
      </c>
      <c r="R174" t="n">
        <v>59</v>
      </c>
      <c r="S174" t="n">
        <v>69</v>
      </c>
    </row>
    <row r="175">
      <c r="A175" t="n">
        <v>174</v>
      </c>
      <c r="B175" s="2" t="inlineStr">
        <is>
          <t>Medium</t>
        </is>
      </c>
      <c r="C175" t="inlineStr">
        <is>
          <t>Industry-academia link for Defence</t>
        </is>
      </c>
      <c r="D175" t="inlineStr">
        <is>
          <t>Defence</t>
        </is>
      </c>
      <c r="E175" t="inlineStr">
        <is>
          <t>UP Defence Corridor Authority</t>
        </is>
      </c>
      <c r="F175" t="inlineStr">
        <is>
          <t>Aligarh</t>
        </is>
      </c>
      <c r="G175" t="inlineStr">
        <is>
          <t>2026-2030</t>
        </is>
      </c>
      <c r="H175" t="inlineStr">
        <is>
          <t>Curriculum Reform</t>
        </is>
      </c>
      <c r="I175" t="inlineStr">
        <is>
          <t>Proposed</t>
        </is>
      </c>
      <c r="J175" t="n">
        <v>24927</v>
      </c>
      <c r="K175" t="n">
        <v>20707</v>
      </c>
      <c r="L175" t="n">
        <v>4220</v>
      </c>
      <c r="M175" t="n">
        <v>16.9</v>
      </c>
      <c r="N175" t="n">
        <v>27.67</v>
      </c>
      <c r="O175" t="n">
        <v>33</v>
      </c>
      <c r="P175" t="n">
        <v>2026</v>
      </c>
      <c r="Q175" t="n">
        <v>39</v>
      </c>
      <c r="R175" t="n">
        <v>69</v>
      </c>
      <c r="S175" t="n">
        <v>54</v>
      </c>
    </row>
    <row r="176">
      <c r="A176" t="n">
        <v>175</v>
      </c>
      <c r="B176" s="5" t="inlineStr">
        <is>
          <t>Low</t>
        </is>
      </c>
      <c r="C176" t="inlineStr">
        <is>
          <t>Expand Textile &amp; Apparel training capacity</t>
        </is>
      </c>
      <c r="D176" t="inlineStr">
        <is>
          <t>Textile &amp; Apparel</t>
        </is>
      </c>
      <c r="E176" t="inlineStr">
        <is>
          <t>Handloom &amp; Textiles Dept</t>
        </is>
      </c>
      <c r="F176" t="inlineStr">
        <is>
          <t>Aligarh</t>
        </is>
      </c>
      <c r="G176" t="inlineStr">
        <is>
          <t>2025-2026</t>
        </is>
      </c>
      <c r="H176" t="inlineStr">
        <is>
          <t>ITI Conversion</t>
        </is>
      </c>
      <c r="I176" t="inlineStr">
        <is>
          <t>In Execution</t>
        </is>
      </c>
      <c r="J176" t="n">
        <v>7975</v>
      </c>
      <c r="K176" t="n">
        <v>2925</v>
      </c>
      <c r="L176" t="n">
        <v>5050</v>
      </c>
      <c r="M176" t="n">
        <v>63.3</v>
      </c>
      <c r="N176" t="n">
        <v>451.87</v>
      </c>
      <c r="O176" t="n">
        <v>33</v>
      </c>
      <c r="P176" t="n">
        <v>2027</v>
      </c>
      <c r="Q176" t="n">
        <v>43</v>
      </c>
      <c r="R176" t="n">
        <v>66</v>
      </c>
      <c r="S176" t="n">
        <v>93</v>
      </c>
    </row>
    <row r="177">
      <c r="A177" t="n">
        <v>176</v>
      </c>
      <c r="B177" s="2" t="inlineStr">
        <is>
          <t>Medium</t>
        </is>
      </c>
      <c r="C177" t="inlineStr">
        <is>
          <t>Establish Police &amp; Home skilling hub</t>
        </is>
      </c>
      <c r="D177" t="inlineStr">
        <is>
          <t>Police &amp; Home</t>
        </is>
      </c>
      <c r="E177" t="inlineStr">
        <is>
          <t>Home Dept</t>
        </is>
      </c>
      <c r="F177" t="inlineStr">
        <is>
          <t>Gorakhpur</t>
        </is>
      </c>
      <c r="G177" t="inlineStr">
        <is>
          <t>2025-2027</t>
        </is>
      </c>
      <c r="H177" t="inlineStr">
        <is>
          <t>Recruitment</t>
        </is>
      </c>
      <c r="I177" t="inlineStr">
        <is>
          <t>Proposed</t>
        </is>
      </c>
      <c r="J177" t="n">
        <v>5553</v>
      </c>
      <c r="K177" t="n">
        <v>2137</v>
      </c>
      <c r="L177" t="n">
        <v>3416</v>
      </c>
      <c r="M177" t="n">
        <v>61.5</v>
      </c>
      <c r="N177" t="n">
        <v>376.7</v>
      </c>
      <c r="O177" t="n">
        <v>15</v>
      </c>
      <c r="P177" t="n">
        <v>2026</v>
      </c>
      <c r="Q177" t="n">
        <v>7</v>
      </c>
      <c r="R177" t="n">
        <v>79</v>
      </c>
      <c r="S177" t="n">
        <v>70</v>
      </c>
    </row>
    <row r="178">
      <c r="A178" t="n">
        <v>177</v>
      </c>
      <c r="B178" s="5" t="inlineStr">
        <is>
          <t>Low</t>
        </is>
      </c>
      <c r="C178" t="inlineStr">
        <is>
          <t>Fast-track recruitment for Manufacturing</t>
        </is>
      </c>
      <c r="D178" t="inlineStr">
        <is>
          <t>Manufacturing</t>
        </is>
      </c>
      <c r="E178" t="inlineStr">
        <is>
          <t>Industries Dept</t>
        </is>
      </c>
      <c r="F178" t="inlineStr">
        <is>
          <t>Moradabad</t>
        </is>
      </c>
      <c r="G178" t="inlineStr">
        <is>
          <t>2026-2028</t>
        </is>
      </c>
      <c r="H178" t="inlineStr">
        <is>
          <t>ITI Conversion</t>
        </is>
      </c>
      <c r="I178" t="inlineStr">
        <is>
          <t>Proposed</t>
        </is>
      </c>
      <c r="J178" t="n">
        <v>3360</v>
      </c>
      <c r="K178" t="n">
        <v>808</v>
      </c>
      <c r="L178" t="n">
        <v>2552</v>
      </c>
      <c r="M178" t="n">
        <v>76</v>
      </c>
      <c r="N178" t="n">
        <v>216.55</v>
      </c>
      <c r="O178" t="n">
        <v>41</v>
      </c>
      <c r="P178" t="n">
        <v>2025</v>
      </c>
      <c r="Q178" t="n">
        <v>2</v>
      </c>
      <c r="R178" t="n">
        <v>87</v>
      </c>
      <c r="S178" t="n">
        <v>76</v>
      </c>
    </row>
    <row r="179">
      <c r="A179" t="n">
        <v>178</v>
      </c>
      <c r="B179" s="2" t="inlineStr">
        <is>
          <t>Medium</t>
        </is>
      </c>
      <c r="C179" t="inlineStr">
        <is>
          <t>Manufacturing cadre restructuring</t>
        </is>
      </c>
      <c r="D179" t="inlineStr">
        <is>
          <t>Manufacturing</t>
        </is>
      </c>
      <c r="E179" t="inlineStr">
        <is>
          <t>MSME Dept</t>
        </is>
      </c>
      <c r="F179" t="inlineStr">
        <is>
          <t>Aligarh</t>
        </is>
      </c>
      <c r="G179" t="inlineStr">
        <is>
          <t>2026-2030</t>
        </is>
      </c>
      <c r="H179" t="inlineStr">
        <is>
          <t>Skilling</t>
        </is>
      </c>
      <c r="I179" t="inlineStr">
        <is>
          <t>Approved</t>
        </is>
      </c>
      <c r="J179" t="n">
        <v>13207</v>
      </c>
      <c r="K179" t="n">
        <v>9038</v>
      </c>
      <c r="L179" t="n">
        <v>4169</v>
      </c>
      <c r="M179" t="n">
        <v>31.6</v>
      </c>
      <c r="N179" t="n">
        <v>348.48</v>
      </c>
      <c r="O179" t="n">
        <v>41</v>
      </c>
      <c r="P179" t="n">
        <v>2027</v>
      </c>
      <c r="Q179" t="n">
        <v>11</v>
      </c>
      <c r="R179" t="n">
        <v>70</v>
      </c>
      <c r="S179" t="n">
        <v>86</v>
      </c>
    </row>
    <row r="180">
      <c r="A180" t="n">
        <v>179</v>
      </c>
      <c r="B180" s="3" t="inlineStr">
        <is>
          <t>Critical</t>
        </is>
      </c>
      <c r="C180" t="inlineStr">
        <is>
          <t>Launch Police &amp; Home Centre of Excellence</t>
        </is>
      </c>
      <c r="D180" t="inlineStr">
        <is>
          <t>Police &amp; Home</t>
        </is>
      </c>
      <c r="E180" t="inlineStr">
        <is>
          <t>Home Dept</t>
        </is>
      </c>
      <c r="F180" t="inlineStr">
        <is>
          <t>Gorakhpur</t>
        </is>
      </c>
      <c r="G180" t="inlineStr">
        <is>
          <t>2026-2028</t>
        </is>
      </c>
      <c r="H180" t="inlineStr">
        <is>
          <t>Fast-track Hiring</t>
        </is>
      </c>
      <c r="I180" t="inlineStr">
        <is>
          <t>Under Review</t>
        </is>
      </c>
      <c r="J180" t="n">
        <v>5979</v>
      </c>
      <c r="K180" t="n">
        <v>2547</v>
      </c>
      <c r="L180" t="n">
        <v>3432</v>
      </c>
      <c r="M180" t="n">
        <v>57.4</v>
      </c>
      <c r="N180" t="n">
        <v>203.29</v>
      </c>
      <c r="O180" t="n">
        <v>36</v>
      </c>
      <c r="P180" t="n">
        <v>2026</v>
      </c>
      <c r="Q180" t="n">
        <v>16</v>
      </c>
      <c r="R180" t="n">
        <v>59</v>
      </c>
      <c r="S180" t="n">
        <v>73</v>
      </c>
    </row>
    <row r="181">
      <c r="A181" t="n">
        <v>180</v>
      </c>
      <c r="B181" s="4" t="inlineStr">
        <is>
          <t>High</t>
        </is>
      </c>
      <c r="C181" t="inlineStr">
        <is>
          <t>PPP for EV &amp; Mobility apprenticeships</t>
        </is>
      </c>
      <c r="D181" t="inlineStr">
        <is>
          <t>EV &amp; Mobility</t>
        </is>
      </c>
      <c r="E181" t="inlineStr">
        <is>
          <t>Transport Dept</t>
        </is>
      </c>
      <c r="F181" t="inlineStr">
        <is>
          <t>Varanasi</t>
        </is>
      </c>
      <c r="G181" t="inlineStr">
        <is>
          <t>2026-2028</t>
        </is>
      </c>
      <c r="H181" t="inlineStr">
        <is>
          <t>Skilling</t>
        </is>
      </c>
      <c r="I181" t="inlineStr">
        <is>
          <t>In Execution</t>
        </is>
      </c>
      <c r="J181" t="n">
        <v>20822</v>
      </c>
      <c r="K181" t="n">
        <v>8014</v>
      </c>
      <c r="L181" t="n">
        <v>12808</v>
      </c>
      <c r="M181" t="n">
        <v>61.5</v>
      </c>
      <c r="N181" t="n">
        <v>414.13</v>
      </c>
      <c r="O181" t="n">
        <v>34</v>
      </c>
      <c r="P181" t="n">
        <v>2028</v>
      </c>
      <c r="Q181" t="n">
        <v>39</v>
      </c>
      <c r="R181" t="n">
        <v>76</v>
      </c>
      <c r="S181" t="n">
        <v>77</v>
      </c>
    </row>
    <row r="182">
      <c r="A182" t="n">
        <v>181</v>
      </c>
      <c r="B182" s="4" t="inlineStr">
        <is>
          <t>High</t>
        </is>
      </c>
      <c r="C182" t="inlineStr">
        <is>
          <t>Education cadre restructuring</t>
        </is>
      </c>
      <c r="D182" t="inlineStr">
        <is>
          <t>Education</t>
        </is>
      </c>
      <c r="E182" t="inlineStr">
        <is>
          <t>Secondary Education</t>
        </is>
      </c>
      <c r="F182" t="inlineStr">
        <is>
          <t>Agra</t>
        </is>
      </c>
      <c r="G182" t="inlineStr">
        <is>
          <t>2026-2030</t>
        </is>
      </c>
      <c r="H182" t="inlineStr">
        <is>
          <t>PPP Partnership</t>
        </is>
      </c>
      <c r="I182" t="inlineStr">
        <is>
          <t>Under Review</t>
        </is>
      </c>
      <c r="J182" t="n">
        <v>10957</v>
      </c>
      <c r="K182" t="n">
        <v>3490</v>
      </c>
      <c r="L182" t="n">
        <v>7467</v>
      </c>
      <c r="M182" t="n">
        <v>68.09999999999999</v>
      </c>
      <c r="N182" t="n">
        <v>334.19</v>
      </c>
      <c r="O182" t="n">
        <v>37</v>
      </c>
      <c r="P182" t="n">
        <v>2025</v>
      </c>
      <c r="Q182" t="n">
        <v>21</v>
      </c>
      <c r="R182" t="n">
        <v>91</v>
      </c>
      <c r="S182" t="n">
        <v>100</v>
      </c>
    </row>
    <row r="183">
      <c r="A183" t="n">
        <v>182</v>
      </c>
      <c r="B183" s="2" t="inlineStr">
        <is>
          <t>Medium</t>
        </is>
      </c>
      <c r="C183" t="inlineStr">
        <is>
          <t>ITI conversion to Police &amp; Home curriculum</t>
        </is>
      </c>
      <c r="D183" t="inlineStr">
        <is>
          <t>Police &amp; Home</t>
        </is>
      </c>
      <c r="E183" t="inlineStr">
        <is>
          <t>UP Police</t>
        </is>
      </c>
      <c r="F183" t="inlineStr">
        <is>
          <t>Ayodhya</t>
        </is>
      </c>
      <c r="G183" t="inlineStr">
        <is>
          <t>2026-2028</t>
        </is>
      </c>
      <c r="H183" t="inlineStr">
        <is>
          <t>Recruitment</t>
        </is>
      </c>
      <c r="I183" t="inlineStr">
        <is>
          <t>Pending Funding</t>
        </is>
      </c>
      <c r="J183" t="n">
        <v>19906</v>
      </c>
      <c r="K183" t="n">
        <v>16879</v>
      </c>
      <c r="L183" t="n">
        <v>3027</v>
      </c>
      <c r="M183" t="n">
        <v>15.2</v>
      </c>
      <c r="N183" t="n">
        <v>88.01000000000001</v>
      </c>
      <c r="O183" t="n">
        <v>41</v>
      </c>
      <c r="P183" t="n">
        <v>2026</v>
      </c>
      <c r="Q183" t="n">
        <v>46</v>
      </c>
      <c r="R183" t="n">
        <v>56</v>
      </c>
      <c r="S183" t="n">
        <v>96</v>
      </c>
    </row>
    <row r="184">
      <c r="A184" t="n">
        <v>183</v>
      </c>
      <c r="B184" s="2" t="inlineStr">
        <is>
          <t>Medium</t>
        </is>
      </c>
      <c r="C184" t="inlineStr">
        <is>
          <t>Build Power &amp; Energy talent corridor</t>
        </is>
      </c>
      <c r="D184" t="inlineStr">
        <is>
          <t>Power &amp; Energy</t>
        </is>
      </c>
      <c r="E184" t="inlineStr">
        <is>
          <t>UPPCL</t>
        </is>
      </c>
      <c r="F184" t="inlineStr">
        <is>
          <t>Noida</t>
        </is>
      </c>
      <c r="G184" t="inlineStr">
        <is>
          <t>2026-2030</t>
        </is>
      </c>
      <c r="H184" t="inlineStr">
        <is>
          <t>Fast-track Hiring</t>
        </is>
      </c>
      <c r="I184" t="inlineStr">
        <is>
          <t>Under Review</t>
        </is>
      </c>
      <c r="J184" t="n">
        <v>10423</v>
      </c>
      <c r="K184" t="n">
        <v>2934</v>
      </c>
      <c r="L184" t="n">
        <v>7489</v>
      </c>
      <c r="M184" t="n">
        <v>71.90000000000001</v>
      </c>
      <c r="N184" t="n">
        <v>316.84</v>
      </c>
      <c r="O184" t="n">
        <v>33</v>
      </c>
      <c r="P184" t="n">
        <v>2026</v>
      </c>
      <c r="Q184" t="n">
        <v>39</v>
      </c>
      <c r="R184" t="n">
        <v>79</v>
      </c>
      <c r="S184" t="n">
        <v>54</v>
      </c>
    </row>
    <row r="185">
      <c r="A185" t="n">
        <v>184</v>
      </c>
      <c r="B185" s="2" t="inlineStr">
        <is>
          <t>Medium</t>
        </is>
      </c>
      <c r="C185" t="inlineStr">
        <is>
          <t>Reskilling drive for EV &amp; Mobility</t>
        </is>
      </c>
      <c r="D185" t="inlineStr">
        <is>
          <t>EV &amp; Mobility</t>
        </is>
      </c>
      <c r="E185" t="inlineStr">
        <is>
          <t>Industries Dept</t>
        </is>
      </c>
      <c r="F185" t="inlineStr">
        <is>
          <t>Mathura</t>
        </is>
      </c>
      <c r="G185" t="inlineStr">
        <is>
          <t>2027-2030</t>
        </is>
      </c>
      <c r="H185" t="inlineStr">
        <is>
          <t>Skilling</t>
        </is>
      </c>
      <c r="I185" t="inlineStr">
        <is>
          <t>Approved</t>
        </is>
      </c>
      <c r="J185" t="n">
        <v>18093</v>
      </c>
      <c r="K185" t="n">
        <v>9867</v>
      </c>
      <c r="L185" t="n">
        <v>8226</v>
      </c>
      <c r="M185" t="n">
        <v>45.5</v>
      </c>
      <c r="N185" t="n">
        <v>439.08</v>
      </c>
      <c r="O185" t="n">
        <v>12</v>
      </c>
      <c r="P185" t="n">
        <v>2028</v>
      </c>
      <c r="Q185" t="n">
        <v>23</v>
      </c>
      <c r="R185" t="n">
        <v>70</v>
      </c>
      <c r="S185" t="n">
        <v>92</v>
      </c>
    </row>
    <row r="186">
      <c r="A186" t="n">
        <v>185</v>
      </c>
      <c r="B186" s="2" t="inlineStr">
        <is>
          <t>Medium</t>
        </is>
      </c>
      <c r="C186" t="inlineStr">
        <is>
          <t>Scale Transport workforce pipeline</t>
        </is>
      </c>
      <c r="D186" t="inlineStr">
        <is>
          <t>Transport</t>
        </is>
      </c>
      <c r="E186" t="inlineStr">
        <is>
          <t>Metro Rail Corp</t>
        </is>
      </c>
      <c r="F186" t="inlineStr">
        <is>
          <t>Ayodhya</t>
        </is>
      </c>
      <c r="G186" t="inlineStr">
        <is>
          <t>2026-2028</t>
        </is>
      </c>
      <c r="H186" t="inlineStr">
        <is>
          <t>Apprenticeship</t>
        </is>
      </c>
      <c r="I186" t="inlineStr">
        <is>
          <t>Proposed</t>
        </is>
      </c>
      <c r="J186" t="n">
        <v>3731</v>
      </c>
      <c r="K186" t="n">
        <v>1097</v>
      </c>
      <c r="L186" t="n">
        <v>2634</v>
      </c>
      <c r="M186" t="n">
        <v>70.59999999999999</v>
      </c>
      <c r="N186" t="n">
        <v>246.1</v>
      </c>
      <c r="O186" t="n">
        <v>39</v>
      </c>
      <c r="P186" t="n">
        <v>2028</v>
      </c>
      <c r="Q186" t="n">
        <v>37</v>
      </c>
      <c r="R186" t="n">
        <v>90</v>
      </c>
      <c r="S186" t="n">
        <v>87</v>
      </c>
    </row>
    <row r="187">
      <c r="A187" t="n">
        <v>186</v>
      </c>
      <c r="B187" s="4" t="inlineStr">
        <is>
          <t>High</t>
        </is>
      </c>
      <c r="C187" t="inlineStr">
        <is>
          <t>Fast-track recruitment for Defence</t>
        </is>
      </c>
      <c r="D187" t="inlineStr">
        <is>
          <t>Defence</t>
        </is>
      </c>
      <c r="E187" t="inlineStr">
        <is>
          <t>UP Defence Corridor Authority</t>
        </is>
      </c>
      <c r="F187" t="inlineStr">
        <is>
          <t>Moradabad</t>
        </is>
      </c>
      <c r="G187" t="inlineStr">
        <is>
          <t>2028-2030</t>
        </is>
      </c>
      <c r="H187" t="inlineStr">
        <is>
          <t>Certification Program</t>
        </is>
      </c>
      <c r="I187" t="inlineStr">
        <is>
          <t>Pending Funding</t>
        </is>
      </c>
      <c r="J187" t="n">
        <v>11803</v>
      </c>
      <c r="K187" t="n">
        <v>10012</v>
      </c>
      <c r="L187" t="n">
        <v>1791</v>
      </c>
      <c r="M187" t="n">
        <v>15.2</v>
      </c>
      <c r="N187" t="n">
        <v>232.76</v>
      </c>
      <c r="O187" t="n">
        <v>24</v>
      </c>
      <c r="P187" t="n">
        <v>2025</v>
      </c>
      <c r="Q187" t="n">
        <v>54</v>
      </c>
      <c r="R187" t="n">
        <v>81</v>
      </c>
      <c r="S187" t="n">
        <v>55</v>
      </c>
    </row>
    <row r="188">
      <c r="A188" t="n">
        <v>187</v>
      </c>
      <c r="B188" s="4" t="inlineStr">
        <is>
          <t>High</t>
        </is>
      </c>
      <c r="C188" t="inlineStr">
        <is>
          <t>PPP for Education apprenticeships</t>
        </is>
      </c>
      <c r="D188" t="inlineStr">
        <is>
          <t>Education</t>
        </is>
      </c>
      <c r="E188" t="inlineStr">
        <is>
          <t>Secondary Education</t>
        </is>
      </c>
      <c r="F188" t="inlineStr">
        <is>
          <t>Moradabad</t>
        </is>
      </c>
      <c r="G188" t="inlineStr">
        <is>
          <t>2025-2027</t>
        </is>
      </c>
      <c r="H188" t="inlineStr">
        <is>
          <t>University Tie-up</t>
        </is>
      </c>
      <c r="I188" t="inlineStr">
        <is>
          <t>In Execution</t>
        </is>
      </c>
      <c r="J188" t="n">
        <v>16102</v>
      </c>
      <c r="K188" t="n">
        <v>2789</v>
      </c>
      <c r="L188" t="n">
        <v>13313</v>
      </c>
      <c r="M188" t="n">
        <v>82.7</v>
      </c>
      <c r="N188" t="n">
        <v>347.11</v>
      </c>
      <c r="O188" t="n">
        <v>34</v>
      </c>
      <c r="P188" t="n">
        <v>2026</v>
      </c>
      <c r="Q188" t="n">
        <v>3</v>
      </c>
      <c r="R188" t="n">
        <v>75</v>
      </c>
      <c r="S188" t="n">
        <v>54</v>
      </c>
    </row>
    <row r="189">
      <c r="A189" t="n">
        <v>188</v>
      </c>
      <c r="B189" s="2" t="inlineStr">
        <is>
          <t>Medium</t>
        </is>
      </c>
      <c r="C189" t="inlineStr">
        <is>
          <t>Industry-academia link for Health</t>
        </is>
      </c>
      <c r="D189" t="inlineStr">
        <is>
          <t>Health</t>
        </is>
      </c>
      <c r="E189" t="inlineStr">
        <is>
          <t>Health &amp; Family Welfare</t>
        </is>
      </c>
      <c r="F189" t="inlineStr">
        <is>
          <t>Ghaziabad</t>
        </is>
      </c>
      <c r="G189" t="inlineStr">
        <is>
          <t>2028-2030</t>
        </is>
      </c>
      <c r="H189" t="inlineStr">
        <is>
          <t>Curriculum Reform</t>
        </is>
      </c>
      <c r="I189" t="inlineStr">
        <is>
          <t>Under Review</t>
        </is>
      </c>
      <c r="J189" t="n">
        <v>6216</v>
      </c>
      <c r="K189" t="n">
        <v>3194</v>
      </c>
      <c r="L189" t="n">
        <v>3022</v>
      </c>
      <c r="M189" t="n">
        <v>48.6</v>
      </c>
      <c r="N189" t="n">
        <v>160.21</v>
      </c>
      <c r="O189" t="n">
        <v>33</v>
      </c>
      <c r="P189" t="n">
        <v>2026</v>
      </c>
      <c r="Q189" t="n">
        <v>41</v>
      </c>
      <c r="R189" t="n">
        <v>84</v>
      </c>
      <c r="S189" t="n">
        <v>64</v>
      </c>
    </row>
    <row r="190">
      <c r="A190" t="n">
        <v>189</v>
      </c>
      <c r="B190" s="2" t="inlineStr">
        <is>
          <t>Medium</t>
        </is>
      </c>
      <c r="C190" t="inlineStr">
        <is>
          <t>ITI conversion to Transport curriculum</t>
        </is>
      </c>
      <c r="D190" t="inlineStr">
        <is>
          <t>Transport</t>
        </is>
      </c>
      <c r="E190" t="inlineStr">
        <is>
          <t>Transport Dept</t>
        </is>
      </c>
      <c r="F190" t="inlineStr">
        <is>
          <t>Mathura</t>
        </is>
      </c>
      <c r="G190" t="inlineStr">
        <is>
          <t>2026-2030</t>
        </is>
      </c>
      <c r="H190" t="inlineStr">
        <is>
          <t>Skilling</t>
        </is>
      </c>
      <c r="I190" t="inlineStr">
        <is>
          <t>Pending Funding</t>
        </is>
      </c>
      <c r="J190" t="n">
        <v>15231</v>
      </c>
      <c r="K190" t="n">
        <v>8287</v>
      </c>
      <c r="L190" t="n">
        <v>6944</v>
      </c>
      <c r="M190" t="n">
        <v>45.6</v>
      </c>
      <c r="N190" t="n">
        <v>187.86</v>
      </c>
      <c r="O190" t="n">
        <v>19</v>
      </c>
      <c r="P190" t="n">
        <v>2028</v>
      </c>
      <c r="Q190" t="n">
        <v>52</v>
      </c>
      <c r="R190" t="n">
        <v>68</v>
      </c>
      <c r="S190" t="n">
        <v>67</v>
      </c>
    </row>
    <row r="191">
      <c r="A191" t="n">
        <v>190</v>
      </c>
      <c r="B191" s="3" t="inlineStr">
        <is>
          <t>Critical</t>
        </is>
      </c>
      <c r="C191" t="inlineStr">
        <is>
          <t>Expand Manufacturing training capacity</t>
        </is>
      </c>
      <c r="D191" t="inlineStr">
        <is>
          <t>Manufacturing</t>
        </is>
      </c>
      <c r="E191" t="inlineStr">
        <is>
          <t>Invest UP</t>
        </is>
      </c>
      <c r="F191" t="inlineStr">
        <is>
          <t>Prayagraj</t>
        </is>
      </c>
      <c r="G191" t="inlineStr">
        <is>
          <t>2026-2028</t>
        </is>
      </c>
      <c r="H191" t="inlineStr">
        <is>
          <t>PPP Partnership</t>
        </is>
      </c>
      <c r="I191" t="inlineStr">
        <is>
          <t>Under Review</t>
        </is>
      </c>
      <c r="J191" t="n">
        <v>4234</v>
      </c>
      <c r="K191" t="n">
        <v>1256</v>
      </c>
      <c r="L191" t="n">
        <v>2978</v>
      </c>
      <c r="M191" t="n">
        <v>70.3</v>
      </c>
      <c r="N191" t="n">
        <v>414.34</v>
      </c>
      <c r="O191" t="n">
        <v>39</v>
      </c>
      <c r="P191" t="n">
        <v>2027</v>
      </c>
      <c r="Q191" t="n">
        <v>25</v>
      </c>
      <c r="R191" t="n">
        <v>95</v>
      </c>
      <c r="S191" t="n">
        <v>70</v>
      </c>
    </row>
    <row r="192">
      <c r="A192" t="n">
        <v>191</v>
      </c>
      <c r="B192" s="2" t="inlineStr">
        <is>
          <t>Medium</t>
        </is>
      </c>
      <c r="C192" t="inlineStr">
        <is>
          <t>Fast-track recruitment for Textile &amp; Apparel</t>
        </is>
      </c>
      <c r="D192" t="inlineStr">
        <is>
          <t>Textile &amp; Apparel</t>
        </is>
      </c>
      <c r="E192" t="inlineStr">
        <is>
          <t>Handloom &amp; Textiles Dept</t>
        </is>
      </c>
      <c r="F192" t="inlineStr">
        <is>
          <t>Jhansi</t>
        </is>
      </c>
      <c r="G192" t="inlineStr">
        <is>
          <t>2026-2028</t>
        </is>
      </c>
      <c r="H192" t="inlineStr">
        <is>
          <t>Fast-track Hiring</t>
        </is>
      </c>
      <c r="I192" t="inlineStr">
        <is>
          <t>Pending Funding</t>
        </is>
      </c>
      <c r="J192" t="n">
        <v>22572</v>
      </c>
      <c r="K192" t="n">
        <v>14208</v>
      </c>
      <c r="L192" t="n">
        <v>8364</v>
      </c>
      <c r="M192" t="n">
        <v>37.1</v>
      </c>
      <c r="N192" t="n">
        <v>144.18</v>
      </c>
      <c r="O192" t="n">
        <v>45</v>
      </c>
      <c r="P192" t="n">
        <v>2028</v>
      </c>
      <c r="Q192" t="n">
        <v>9</v>
      </c>
      <c r="R192" t="n">
        <v>92</v>
      </c>
      <c r="S192" t="n">
        <v>55</v>
      </c>
    </row>
    <row r="193">
      <c r="A193" t="n">
        <v>192</v>
      </c>
      <c r="B193" s="4" t="inlineStr">
        <is>
          <t>High</t>
        </is>
      </c>
      <c r="C193" t="inlineStr">
        <is>
          <t>Industry-academia link for Tourism &amp; Hospitality</t>
        </is>
      </c>
      <c r="D193" t="inlineStr">
        <is>
          <t>Tourism &amp; Hospitality</t>
        </is>
      </c>
      <c r="E193" t="inlineStr">
        <is>
          <t>Tourism Dept</t>
        </is>
      </c>
      <c r="F193" t="inlineStr">
        <is>
          <t>Ghaziabad</t>
        </is>
      </c>
      <c r="G193" t="inlineStr">
        <is>
          <t>2025-2027</t>
        </is>
      </c>
      <c r="H193" t="inlineStr">
        <is>
          <t>PPP Partnership</t>
        </is>
      </c>
      <c r="I193" t="inlineStr">
        <is>
          <t>Under Review</t>
        </is>
      </c>
      <c r="J193" t="n">
        <v>13229</v>
      </c>
      <c r="K193" t="n">
        <v>5472</v>
      </c>
      <c r="L193" t="n">
        <v>7757</v>
      </c>
      <c r="M193" t="n">
        <v>58.6</v>
      </c>
      <c r="N193" t="n">
        <v>67.90000000000001</v>
      </c>
      <c r="O193" t="n">
        <v>30</v>
      </c>
      <c r="P193" t="n">
        <v>2026</v>
      </c>
      <c r="Q193" t="n">
        <v>41</v>
      </c>
      <c r="R193" t="n">
        <v>82</v>
      </c>
      <c r="S193" t="n">
        <v>61</v>
      </c>
    </row>
    <row r="194">
      <c r="A194" t="n">
        <v>193</v>
      </c>
      <c r="B194" s="2" t="inlineStr">
        <is>
          <t>Medium</t>
        </is>
      </c>
      <c r="C194" t="inlineStr">
        <is>
          <t>PPP for Pharma &amp; Biotech apprenticeships</t>
        </is>
      </c>
      <c r="D194" t="inlineStr">
        <is>
          <t>Pharma &amp; Biotech</t>
        </is>
      </c>
      <c r="E194" t="inlineStr">
        <is>
          <t>Drugs Control</t>
        </is>
      </c>
      <c r="F194" t="inlineStr">
        <is>
          <t>Saharanpur</t>
        </is>
      </c>
      <c r="G194" t="inlineStr">
        <is>
          <t>2026-2028</t>
        </is>
      </c>
      <c r="H194" t="inlineStr">
        <is>
          <t>Curriculum Reform</t>
        </is>
      </c>
      <c r="I194" t="inlineStr">
        <is>
          <t>Under Review</t>
        </is>
      </c>
      <c r="J194" t="n">
        <v>15278</v>
      </c>
      <c r="K194" t="n">
        <v>8625</v>
      </c>
      <c r="L194" t="n">
        <v>6653</v>
      </c>
      <c r="M194" t="n">
        <v>43.5</v>
      </c>
      <c r="N194" t="n">
        <v>415.72</v>
      </c>
      <c r="O194" t="n">
        <v>6</v>
      </c>
      <c r="P194" t="n">
        <v>2025</v>
      </c>
      <c r="Q194" t="n">
        <v>53</v>
      </c>
      <c r="R194" t="n">
        <v>86</v>
      </c>
      <c r="S194" t="n">
        <v>58</v>
      </c>
    </row>
    <row r="195">
      <c r="A195" t="n">
        <v>194</v>
      </c>
      <c r="B195" s="4" t="inlineStr">
        <is>
          <t>High</t>
        </is>
      </c>
      <c r="C195" t="inlineStr">
        <is>
          <t>Fast-track recruitment for Police &amp; Home</t>
        </is>
      </c>
      <c r="D195" t="inlineStr">
        <is>
          <t>Police &amp; Home</t>
        </is>
      </c>
      <c r="E195" t="inlineStr">
        <is>
          <t>UP Police</t>
        </is>
      </c>
      <c r="F195" t="inlineStr">
        <is>
          <t>Saharanpur</t>
        </is>
      </c>
      <c r="G195" t="inlineStr">
        <is>
          <t>2026-2030</t>
        </is>
      </c>
      <c r="H195" t="inlineStr">
        <is>
          <t>Fast-track Hiring</t>
        </is>
      </c>
      <c r="I195" t="inlineStr">
        <is>
          <t>In Execution</t>
        </is>
      </c>
      <c r="J195" t="n">
        <v>3208</v>
      </c>
      <c r="K195" t="n">
        <v>1681</v>
      </c>
      <c r="L195" t="n">
        <v>1527</v>
      </c>
      <c r="M195" t="n">
        <v>47.6</v>
      </c>
      <c r="N195" t="n">
        <v>382.43</v>
      </c>
      <c r="O195" t="n">
        <v>20</v>
      </c>
      <c r="P195" t="n">
        <v>2026</v>
      </c>
      <c r="Q195" t="n">
        <v>15</v>
      </c>
      <c r="R195" t="n">
        <v>73</v>
      </c>
      <c r="S195" t="n">
        <v>52</v>
      </c>
    </row>
    <row r="196">
      <c r="A196" t="n">
        <v>195</v>
      </c>
      <c r="B196" s="4" t="inlineStr">
        <is>
          <t>High</t>
        </is>
      </c>
      <c r="C196" t="inlineStr">
        <is>
          <t>Industry-academia link for Pharma &amp; Biotech</t>
        </is>
      </c>
      <c r="D196" t="inlineStr">
        <is>
          <t>Pharma &amp; Biotech</t>
        </is>
      </c>
      <c r="E196" t="inlineStr">
        <is>
          <t>Medical Education</t>
        </is>
      </c>
      <c r="F196" t="inlineStr">
        <is>
          <t>Moradabad</t>
        </is>
      </c>
      <c r="G196" t="inlineStr">
        <is>
          <t>2027-2030</t>
        </is>
      </c>
      <c r="H196" t="inlineStr">
        <is>
          <t>Fast-track Hiring</t>
        </is>
      </c>
      <c r="I196" t="inlineStr">
        <is>
          <t>Pending Funding</t>
        </is>
      </c>
      <c r="J196" t="n">
        <v>4209</v>
      </c>
      <c r="K196" t="n">
        <v>2228</v>
      </c>
      <c r="L196" t="n">
        <v>1981</v>
      </c>
      <c r="M196" t="n">
        <v>47.1</v>
      </c>
      <c r="N196" t="n">
        <v>130.05</v>
      </c>
      <c r="O196" t="n">
        <v>40</v>
      </c>
      <c r="P196" t="n">
        <v>2025</v>
      </c>
      <c r="Q196" t="n">
        <v>49</v>
      </c>
      <c r="R196" t="n">
        <v>78</v>
      </c>
      <c r="S196" t="n">
        <v>84</v>
      </c>
    </row>
    <row r="197">
      <c r="A197" t="n">
        <v>196</v>
      </c>
      <c r="B197" s="5" t="inlineStr">
        <is>
          <t>Low</t>
        </is>
      </c>
      <c r="C197" t="inlineStr">
        <is>
          <t>Scale Skill Development workforce pipeline</t>
        </is>
      </c>
      <c r="D197" t="inlineStr">
        <is>
          <t>Skill Development</t>
        </is>
      </c>
      <c r="E197" t="inlineStr">
        <is>
          <t>UPSDM</t>
        </is>
      </c>
      <c r="F197" t="inlineStr">
        <is>
          <t>Ghaziabad</t>
        </is>
      </c>
      <c r="G197" t="inlineStr">
        <is>
          <t>2028-2030</t>
        </is>
      </c>
      <c r="H197" t="inlineStr">
        <is>
          <t>Centre of Excellence</t>
        </is>
      </c>
      <c r="I197" t="inlineStr">
        <is>
          <t>Approved</t>
        </is>
      </c>
      <c r="J197" t="n">
        <v>15236</v>
      </c>
      <c r="K197" t="n">
        <v>4526</v>
      </c>
      <c r="L197" t="n">
        <v>10710</v>
      </c>
      <c r="M197" t="n">
        <v>70.3</v>
      </c>
      <c r="N197" t="n">
        <v>414.13</v>
      </c>
      <c r="O197" t="n">
        <v>11</v>
      </c>
      <c r="P197" t="n">
        <v>2025</v>
      </c>
      <c r="Q197" t="n">
        <v>14</v>
      </c>
      <c r="R197" t="n">
        <v>83</v>
      </c>
      <c r="S197" t="n">
        <v>57</v>
      </c>
    </row>
    <row r="198">
      <c r="A198" t="n">
        <v>197</v>
      </c>
      <c r="B198" s="5" t="inlineStr">
        <is>
          <t>Low</t>
        </is>
      </c>
      <c r="C198" t="inlineStr">
        <is>
          <t>ITI conversion to Logistics &amp; Warehousing curriculum</t>
        </is>
      </c>
      <c r="D198" t="inlineStr">
        <is>
          <t>Logistics &amp; Warehousing</t>
        </is>
      </c>
      <c r="E198" t="inlineStr">
        <is>
          <t>UPSIDA</t>
        </is>
      </c>
      <c r="F198" t="inlineStr">
        <is>
          <t>Mathura</t>
        </is>
      </c>
      <c r="G198" t="inlineStr">
        <is>
          <t>2025-2027</t>
        </is>
      </c>
      <c r="H198" t="inlineStr">
        <is>
          <t>Certification Program</t>
        </is>
      </c>
      <c r="I198" t="inlineStr">
        <is>
          <t>Under Review</t>
        </is>
      </c>
      <c r="J198" t="n">
        <v>7281</v>
      </c>
      <c r="K198" t="n">
        <v>5126</v>
      </c>
      <c r="L198" t="n">
        <v>2155</v>
      </c>
      <c r="M198" t="n">
        <v>29.6</v>
      </c>
      <c r="N198" t="n">
        <v>274.5</v>
      </c>
      <c r="O198" t="n">
        <v>40</v>
      </c>
      <c r="P198" t="n">
        <v>2027</v>
      </c>
      <c r="Q198" t="n">
        <v>11</v>
      </c>
      <c r="R198" t="n">
        <v>72</v>
      </c>
      <c r="S198" t="n">
        <v>88</v>
      </c>
    </row>
    <row r="199">
      <c r="A199" t="n">
        <v>198</v>
      </c>
      <c r="B199" s="4" t="inlineStr">
        <is>
          <t>High</t>
        </is>
      </c>
      <c r="C199" t="inlineStr">
        <is>
          <t>Tourism &amp; Hospitality cadre restructuring</t>
        </is>
      </c>
      <c r="D199" t="inlineStr">
        <is>
          <t>Tourism &amp; Hospitality</t>
        </is>
      </c>
      <c r="E199" t="inlineStr">
        <is>
          <t>UP Tourism Corp</t>
        </is>
      </c>
      <c r="F199" t="inlineStr">
        <is>
          <t>Bareilly</t>
        </is>
      </c>
      <c r="G199" t="inlineStr">
        <is>
          <t>2027-2030</t>
        </is>
      </c>
      <c r="H199" t="inlineStr">
        <is>
          <t>Recruitment</t>
        </is>
      </c>
      <c r="I199" t="inlineStr">
        <is>
          <t>Under Review</t>
        </is>
      </c>
      <c r="J199" t="n">
        <v>2442</v>
      </c>
      <c r="K199" t="n">
        <v>2061</v>
      </c>
      <c r="L199" t="n">
        <v>381</v>
      </c>
      <c r="M199" t="n">
        <v>15.6</v>
      </c>
      <c r="N199" t="n">
        <v>416.45</v>
      </c>
      <c r="O199" t="n">
        <v>14</v>
      </c>
      <c r="P199" t="n">
        <v>2025</v>
      </c>
      <c r="Q199" t="n">
        <v>46</v>
      </c>
      <c r="R199" t="n">
        <v>63</v>
      </c>
      <c r="S199" t="n">
        <v>65</v>
      </c>
    </row>
    <row r="200">
      <c r="A200" t="n">
        <v>199</v>
      </c>
      <c r="B200" s="2" t="inlineStr">
        <is>
          <t>Medium</t>
        </is>
      </c>
      <c r="C200" t="inlineStr">
        <is>
          <t>Build Tourism &amp; Hospitality talent corridor</t>
        </is>
      </c>
      <c r="D200" t="inlineStr">
        <is>
          <t>Tourism &amp; Hospitality</t>
        </is>
      </c>
      <c r="E200" t="inlineStr">
        <is>
          <t>Tourism Dept</t>
        </is>
      </c>
      <c r="F200" t="inlineStr">
        <is>
          <t>Ayodhya</t>
        </is>
      </c>
      <c r="G200" t="inlineStr">
        <is>
          <t>2026-2030</t>
        </is>
      </c>
      <c r="H200" t="inlineStr">
        <is>
          <t>Curriculum Reform</t>
        </is>
      </c>
      <c r="I200" t="inlineStr">
        <is>
          <t>Pending Funding</t>
        </is>
      </c>
      <c r="J200" t="n">
        <v>9305</v>
      </c>
      <c r="K200" t="n">
        <v>5311</v>
      </c>
      <c r="L200" t="n">
        <v>3994</v>
      </c>
      <c r="M200" t="n">
        <v>42.9</v>
      </c>
      <c r="N200" t="n">
        <v>181.33</v>
      </c>
      <c r="O200" t="n">
        <v>10</v>
      </c>
      <c r="P200" t="n">
        <v>2025</v>
      </c>
      <c r="Q200" t="n">
        <v>26</v>
      </c>
      <c r="R200" t="n">
        <v>95</v>
      </c>
      <c r="S200" t="n">
        <v>100</v>
      </c>
    </row>
    <row r="201">
      <c r="A201" t="n">
        <v>200</v>
      </c>
      <c r="B201" s="2" t="inlineStr">
        <is>
          <t>Medium</t>
        </is>
      </c>
      <c r="C201" t="inlineStr">
        <is>
          <t>Certification roll-out for AI &amp; Data Centres</t>
        </is>
      </c>
      <c r="D201" t="inlineStr">
        <is>
          <t>AI &amp; Data Centres</t>
        </is>
      </c>
      <c r="E201" t="inlineStr">
        <is>
          <t>STPI Lucknow</t>
        </is>
      </c>
      <c r="F201" t="inlineStr">
        <is>
          <t>Jhansi</t>
        </is>
      </c>
      <c r="G201" t="inlineStr">
        <is>
          <t>2026-2030</t>
        </is>
      </c>
      <c r="H201" t="inlineStr">
        <is>
          <t>Fast-track Hiring</t>
        </is>
      </c>
      <c r="I201" t="inlineStr">
        <is>
          <t>Approved</t>
        </is>
      </c>
      <c r="J201" t="n">
        <v>581</v>
      </c>
      <c r="K201" t="n">
        <v>436</v>
      </c>
      <c r="L201" t="n">
        <v>145</v>
      </c>
      <c r="M201" t="n">
        <v>25</v>
      </c>
      <c r="N201" t="n">
        <v>406.95</v>
      </c>
      <c r="O201" t="n">
        <v>11</v>
      </c>
      <c r="P201" t="n">
        <v>2028</v>
      </c>
      <c r="Q201" t="n">
        <v>45</v>
      </c>
      <c r="R201" t="n">
        <v>84</v>
      </c>
      <c r="S201" t="n">
        <v>90</v>
      </c>
    </row>
    <row r="202">
      <c r="A202" t="n">
        <v>201</v>
      </c>
      <c r="B202" s="2" t="inlineStr">
        <is>
          <t>Medium</t>
        </is>
      </c>
      <c r="C202" t="inlineStr">
        <is>
          <t>Expand Public Works training capacity</t>
        </is>
      </c>
      <c r="D202" t="inlineStr">
        <is>
          <t>Public Works</t>
        </is>
      </c>
      <c r="E202" t="inlineStr">
        <is>
          <t>PWD</t>
        </is>
      </c>
      <c r="F202" t="inlineStr">
        <is>
          <t>Ayodhya</t>
        </is>
      </c>
      <c r="G202" t="inlineStr">
        <is>
          <t>2025-2027</t>
        </is>
      </c>
      <c r="H202" t="inlineStr">
        <is>
          <t>Apprenticeship</t>
        </is>
      </c>
      <c r="I202" t="inlineStr">
        <is>
          <t>Under Review</t>
        </is>
      </c>
      <c r="J202" t="n">
        <v>9299</v>
      </c>
      <c r="K202" t="n">
        <v>3181</v>
      </c>
      <c r="L202" t="n">
        <v>6118</v>
      </c>
      <c r="M202" t="n">
        <v>65.8</v>
      </c>
      <c r="N202" t="n">
        <v>137.56</v>
      </c>
      <c r="O202" t="n">
        <v>41</v>
      </c>
      <c r="P202" t="n">
        <v>2027</v>
      </c>
      <c r="Q202" t="n">
        <v>55</v>
      </c>
      <c r="R202" t="n">
        <v>91</v>
      </c>
      <c r="S202" t="n">
        <v>58</v>
      </c>
    </row>
    <row r="203">
      <c r="A203" t="n">
        <v>202</v>
      </c>
      <c r="B203" s="5" t="inlineStr">
        <is>
          <t>Low</t>
        </is>
      </c>
      <c r="C203" t="inlineStr">
        <is>
          <t>Scale EV &amp; Mobility workforce pipeline</t>
        </is>
      </c>
      <c r="D203" t="inlineStr">
        <is>
          <t>EV &amp; Mobility</t>
        </is>
      </c>
      <c r="E203" t="inlineStr">
        <is>
          <t>Industries Dept</t>
        </is>
      </c>
      <c r="F203" t="inlineStr">
        <is>
          <t>Kanpur</t>
        </is>
      </c>
      <c r="G203" t="inlineStr">
        <is>
          <t>2025-2026</t>
        </is>
      </c>
      <c r="H203" t="inlineStr">
        <is>
          <t>Recruitment</t>
        </is>
      </c>
      <c r="I203" t="inlineStr">
        <is>
          <t>In Execution</t>
        </is>
      </c>
      <c r="J203" t="n">
        <v>4571</v>
      </c>
      <c r="K203" t="n">
        <v>3643</v>
      </c>
      <c r="L203" t="n">
        <v>928</v>
      </c>
      <c r="M203" t="n">
        <v>20.3</v>
      </c>
      <c r="N203" t="n">
        <v>77.52</v>
      </c>
      <c r="O203" t="n">
        <v>35</v>
      </c>
      <c r="P203" t="n">
        <v>2025</v>
      </c>
      <c r="Q203" t="n">
        <v>45</v>
      </c>
      <c r="R203" t="n">
        <v>55</v>
      </c>
      <c r="S203" t="n">
        <v>77</v>
      </c>
    </row>
    <row r="204">
      <c r="A204" t="n">
        <v>203</v>
      </c>
      <c r="B204" s="4" t="inlineStr">
        <is>
          <t>High</t>
        </is>
      </c>
      <c r="C204" t="inlineStr">
        <is>
          <t>Launch Education Centre of Excellence</t>
        </is>
      </c>
      <c r="D204" t="inlineStr">
        <is>
          <t>Education</t>
        </is>
      </c>
      <c r="E204" t="inlineStr">
        <is>
          <t>Higher Education</t>
        </is>
      </c>
      <c r="F204" t="inlineStr">
        <is>
          <t>Bareilly</t>
        </is>
      </c>
      <c r="G204" t="inlineStr">
        <is>
          <t>2025-2026</t>
        </is>
      </c>
      <c r="H204" t="inlineStr">
        <is>
          <t>PPP Partnership</t>
        </is>
      </c>
      <c r="I204" t="inlineStr">
        <is>
          <t>Approved</t>
        </is>
      </c>
      <c r="J204" t="n">
        <v>12684</v>
      </c>
      <c r="K204" t="n">
        <v>7589</v>
      </c>
      <c r="L204" t="n">
        <v>5095</v>
      </c>
      <c r="M204" t="n">
        <v>40.2</v>
      </c>
      <c r="N204" t="n">
        <v>312.18</v>
      </c>
      <c r="O204" t="n">
        <v>9</v>
      </c>
      <c r="P204" t="n">
        <v>2026</v>
      </c>
      <c r="Q204" t="n">
        <v>47</v>
      </c>
      <c r="R204" t="n">
        <v>80</v>
      </c>
      <c r="S204" t="n">
        <v>90</v>
      </c>
    </row>
    <row r="205">
      <c r="A205" t="n">
        <v>204</v>
      </c>
      <c r="B205" s="2" t="inlineStr">
        <is>
          <t>Medium</t>
        </is>
      </c>
      <c r="C205" t="inlineStr">
        <is>
          <t>Launch Defence Centre of Excellence</t>
        </is>
      </c>
      <c r="D205" t="inlineStr">
        <is>
          <t>Defence</t>
        </is>
      </c>
      <c r="E205" t="inlineStr">
        <is>
          <t>UP Defence Corridor Authority</t>
        </is>
      </c>
      <c r="F205" t="inlineStr">
        <is>
          <t>Ghaziabad</t>
        </is>
      </c>
      <c r="G205" t="inlineStr">
        <is>
          <t>2025-2026</t>
        </is>
      </c>
      <c r="H205" t="inlineStr">
        <is>
          <t>Centre of Excellence</t>
        </is>
      </c>
      <c r="I205" t="inlineStr">
        <is>
          <t>In Execution</t>
        </is>
      </c>
      <c r="J205" t="n">
        <v>4848</v>
      </c>
      <c r="K205" t="n">
        <v>2643</v>
      </c>
      <c r="L205" t="n">
        <v>2205</v>
      </c>
      <c r="M205" t="n">
        <v>45.5</v>
      </c>
      <c r="N205" t="n">
        <v>250.29</v>
      </c>
      <c r="O205" t="n">
        <v>34</v>
      </c>
      <c r="P205" t="n">
        <v>2028</v>
      </c>
      <c r="Q205" t="n">
        <v>22</v>
      </c>
      <c r="R205" t="n">
        <v>55</v>
      </c>
      <c r="S205" t="n">
        <v>50</v>
      </c>
    </row>
    <row r="206">
      <c r="A206" t="n">
        <v>205</v>
      </c>
      <c r="B206" s="2" t="inlineStr">
        <is>
          <t>Medium</t>
        </is>
      </c>
      <c r="C206" t="inlineStr">
        <is>
          <t>Launch Health Centre of Excellence</t>
        </is>
      </c>
      <c r="D206" t="inlineStr">
        <is>
          <t>Health</t>
        </is>
      </c>
      <c r="E206" t="inlineStr">
        <is>
          <t>Medical Education</t>
        </is>
      </c>
      <c r="F206" t="inlineStr">
        <is>
          <t>Saharanpur</t>
        </is>
      </c>
      <c r="G206" t="inlineStr">
        <is>
          <t>2025-2026</t>
        </is>
      </c>
      <c r="H206" t="inlineStr">
        <is>
          <t>Centre of Excellence</t>
        </is>
      </c>
      <c r="I206" t="inlineStr">
        <is>
          <t>In Execution</t>
        </is>
      </c>
      <c r="J206" t="n">
        <v>24445</v>
      </c>
      <c r="K206" t="n">
        <v>17220</v>
      </c>
      <c r="L206" t="n">
        <v>7225</v>
      </c>
      <c r="M206" t="n">
        <v>29.6</v>
      </c>
      <c r="N206" t="n">
        <v>51.33</v>
      </c>
      <c r="O206" t="n">
        <v>29</v>
      </c>
      <c r="P206" t="n">
        <v>2026</v>
      </c>
      <c r="Q206" t="n">
        <v>50</v>
      </c>
      <c r="R206" t="n">
        <v>74</v>
      </c>
      <c r="S206" t="n">
        <v>58</v>
      </c>
    </row>
    <row r="207">
      <c r="A207" t="n">
        <v>206</v>
      </c>
      <c r="B207" s="5" t="inlineStr">
        <is>
          <t>Low</t>
        </is>
      </c>
      <c r="C207" t="inlineStr">
        <is>
          <t>Scale Education workforce pipeline</t>
        </is>
      </c>
      <c r="D207" t="inlineStr">
        <is>
          <t>Education</t>
        </is>
      </c>
      <c r="E207" t="inlineStr">
        <is>
          <t>Higher Education</t>
        </is>
      </c>
      <c r="F207" t="inlineStr">
        <is>
          <t>Varanasi</t>
        </is>
      </c>
      <c r="G207" t="inlineStr">
        <is>
          <t>2025-2026</t>
        </is>
      </c>
      <c r="H207" t="inlineStr">
        <is>
          <t>University Tie-up</t>
        </is>
      </c>
      <c r="I207" t="inlineStr">
        <is>
          <t>Pending Funding</t>
        </is>
      </c>
      <c r="J207" t="n">
        <v>20498</v>
      </c>
      <c r="K207" t="n">
        <v>12042</v>
      </c>
      <c r="L207" t="n">
        <v>8456</v>
      </c>
      <c r="M207" t="n">
        <v>41.3</v>
      </c>
      <c r="N207" t="n">
        <v>212.37</v>
      </c>
      <c r="O207" t="n">
        <v>19</v>
      </c>
      <c r="P207" t="n">
        <v>2025</v>
      </c>
      <c r="Q207" t="n">
        <v>59</v>
      </c>
      <c r="R207" t="n">
        <v>95</v>
      </c>
      <c r="S207" t="n">
        <v>97</v>
      </c>
    </row>
    <row r="208">
      <c r="A208" t="n">
        <v>207</v>
      </c>
      <c r="B208" s="5" t="inlineStr">
        <is>
          <t>Low</t>
        </is>
      </c>
      <c r="C208" t="inlineStr">
        <is>
          <t>Certification roll-out for Revenue</t>
        </is>
      </c>
      <c r="D208" t="inlineStr">
        <is>
          <t>Revenue</t>
        </is>
      </c>
      <c r="E208" t="inlineStr">
        <is>
          <t>Board of Revenue</t>
        </is>
      </c>
      <c r="F208" t="inlineStr">
        <is>
          <t>Noida</t>
        </is>
      </c>
      <c r="G208" t="inlineStr">
        <is>
          <t>2025-2026</t>
        </is>
      </c>
      <c r="H208" t="inlineStr">
        <is>
          <t>Curriculum Reform</t>
        </is>
      </c>
      <c r="I208" t="inlineStr">
        <is>
          <t>Proposed</t>
        </is>
      </c>
      <c r="J208" t="n">
        <v>24420</v>
      </c>
      <c r="K208" t="n">
        <v>9475</v>
      </c>
      <c r="L208" t="n">
        <v>14945</v>
      </c>
      <c r="M208" t="n">
        <v>61.2</v>
      </c>
      <c r="N208" t="n">
        <v>462.43</v>
      </c>
      <c r="O208" t="n">
        <v>26</v>
      </c>
      <c r="P208" t="n">
        <v>2026</v>
      </c>
      <c r="Q208" t="n">
        <v>42</v>
      </c>
      <c r="R208" t="n">
        <v>63</v>
      </c>
      <c r="S208" t="n">
        <v>65</v>
      </c>
    </row>
    <row r="209">
      <c r="A209" t="n">
        <v>208</v>
      </c>
      <c r="B209" s="2" t="inlineStr">
        <is>
          <t>Medium</t>
        </is>
      </c>
      <c r="C209" t="inlineStr">
        <is>
          <t>ITI conversion to Manufacturing curriculum</t>
        </is>
      </c>
      <c r="D209" t="inlineStr">
        <is>
          <t>Manufacturing</t>
        </is>
      </c>
      <c r="E209" t="inlineStr">
        <is>
          <t>Industries Dept</t>
        </is>
      </c>
      <c r="F209" t="inlineStr">
        <is>
          <t>Gorakhpur</t>
        </is>
      </c>
      <c r="G209" t="inlineStr">
        <is>
          <t>2028-2030</t>
        </is>
      </c>
      <c r="H209" t="inlineStr">
        <is>
          <t>Skilling</t>
        </is>
      </c>
      <c r="I209" t="inlineStr">
        <is>
          <t>Approved</t>
        </is>
      </c>
      <c r="J209" t="n">
        <v>17465</v>
      </c>
      <c r="K209" t="n">
        <v>9696</v>
      </c>
      <c r="L209" t="n">
        <v>7769</v>
      </c>
      <c r="M209" t="n">
        <v>44.5</v>
      </c>
      <c r="N209" t="n">
        <v>92.17</v>
      </c>
      <c r="O209" t="n">
        <v>31</v>
      </c>
      <c r="P209" t="n">
        <v>2025</v>
      </c>
      <c r="Q209" t="n">
        <v>51</v>
      </c>
      <c r="R209" t="n">
        <v>73</v>
      </c>
      <c r="S209" t="n">
        <v>91</v>
      </c>
    </row>
    <row r="210">
      <c r="A210" t="n">
        <v>209</v>
      </c>
      <c r="B210" s="4" t="inlineStr">
        <is>
          <t>High</t>
        </is>
      </c>
      <c r="C210" t="inlineStr">
        <is>
          <t>Industry-academia link for Defence</t>
        </is>
      </c>
      <c r="D210" t="inlineStr">
        <is>
          <t>Defence</t>
        </is>
      </c>
      <c r="E210" t="inlineStr">
        <is>
          <t>UP Defence Corridor Authority</t>
        </is>
      </c>
      <c r="F210" t="inlineStr">
        <is>
          <t>Meerut</t>
        </is>
      </c>
      <c r="G210" t="inlineStr">
        <is>
          <t>2026-2030</t>
        </is>
      </c>
      <c r="H210" t="inlineStr">
        <is>
          <t>Certification Program</t>
        </is>
      </c>
      <c r="I210" t="inlineStr">
        <is>
          <t>Proposed</t>
        </is>
      </c>
      <c r="J210" t="n">
        <v>895</v>
      </c>
      <c r="K210" t="n">
        <v>751</v>
      </c>
      <c r="L210" t="n">
        <v>144</v>
      </c>
      <c r="M210" t="n">
        <v>16.1</v>
      </c>
      <c r="N210" t="n">
        <v>448.42</v>
      </c>
      <c r="O210" t="n">
        <v>14</v>
      </c>
      <c r="P210" t="n">
        <v>2026</v>
      </c>
      <c r="Q210" t="n">
        <v>24</v>
      </c>
      <c r="R210" t="n">
        <v>79</v>
      </c>
      <c r="S210" t="n">
        <v>86</v>
      </c>
    </row>
    <row r="211">
      <c r="A211" t="n">
        <v>210</v>
      </c>
      <c r="B211" s="2" t="inlineStr">
        <is>
          <t>Medium</t>
        </is>
      </c>
      <c r="C211" t="inlineStr">
        <is>
          <t>Scale Pharma &amp; Biotech workforce pipeline</t>
        </is>
      </c>
      <c r="D211" t="inlineStr">
        <is>
          <t>Pharma &amp; Biotech</t>
        </is>
      </c>
      <c r="E211" t="inlineStr">
        <is>
          <t>Drugs Control</t>
        </is>
      </c>
      <c r="F211" t="inlineStr">
        <is>
          <t>Noida</t>
        </is>
      </c>
      <c r="G211" t="inlineStr">
        <is>
          <t>2025-2026</t>
        </is>
      </c>
      <c r="H211" t="inlineStr">
        <is>
          <t>Certification Program</t>
        </is>
      </c>
      <c r="I211" t="inlineStr">
        <is>
          <t>Proposed</t>
        </is>
      </c>
      <c r="J211" t="n">
        <v>9091</v>
      </c>
      <c r="K211" t="n">
        <v>2380</v>
      </c>
      <c r="L211" t="n">
        <v>6711</v>
      </c>
      <c r="M211" t="n">
        <v>73.8</v>
      </c>
      <c r="N211" t="n">
        <v>442.99</v>
      </c>
      <c r="O211" t="n">
        <v>31</v>
      </c>
      <c r="P211" t="n">
        <v>2028</v>
      </c>
      <c r="Q211" t="n">
        <v>46</v>
      </c>
      <c r="R211" t="n">
        <v>87</v>
      </c>
      <c r="S211" t="n">
        <v>68</v>
      </c>
    </row>
    <row r="212">
      <c r="A212" t="n">
        <v>211</v>
      </c>
      <c r="B212" s="4" t="inlineStr">
        <is>
          <t>High</t>
        </is>
      </c>
      <c r="C212" t="inlineStr">
        <is>
          <t>Certification roll-out for AI &amp; Data Centres</t>
        </is>
      </c>
      <c r="D212" t="inlineStr">
        <is>
          <t>AI &amp; Data Centres</t>
        </is>
      </c>
      <c r="E212" t="inlineStr">
        <is>
          <t>STPI Lucknow</t>
        </is>
      </c>
      <c r="F212" t="inlineStr">
        <is>
          <t>Ayodhya</t>
        </is>
      </c>
      <c r="G212" t="inlineStr">
        <is>
          <t>2025-2026</t>
        </is>
      </c>
      <c r="H212" t="inlineStr">
        <is>
          <t>University Tie-up</t>
        </is>
      </c>
      <c r="I212" t="inlineStr">
        <is>
          <t>Pending Funding</t>
        </is>
      </c>
      <c r="J212" t="n">
        <v>5503</v>
      </c>
      <c r="K212" t="n">
        <v>1695</v>
      </c>
      <c r="L212" t="n">
        <v>3808</v>
      </c>
      <c r="M212" t="n">
        <v>69.2</v>
      </c>
      <c r="N212" t="n">
        <v>150.14</v>
      </c>
      <c r="O212" t="n">
        <v>38</v>
      </c>
      <c r="P212" t="n">
        <v>2027</v>
      </c>
      <c r="Q212" t="n">
        <v>21</v>
      </c>
      <c r="R212" t="n">
        <v>68</v>
      </c>
      <c r="S212" t="n">
        <v>59</v>
      </c>
    </row>
    <row r="213">
      <c r="A213" t="n">
        <v>212</v>
      </c>
      <c r="B213" s="4" t="inlineStr">
        <is>
          <t>High</t>
        </is>
      </c>
      <c r="C213" t="inlineStr">
        <is>
          <t>ITI conversion to Police &amp; Home curriculum</t>
        </is>
      </c>
      <c r="D213" t="inlineStr">
        <is>
          <t>Police &amp; Home</t>
        </is>
      </c>
      <c r="E213" t="inlineStr">
        <is>
          <t>Home Dept</t>
        </is>
      </c>
      <c r="F213" t="inlineStr">
        <is>
          <t>Mathura</t>
        </is>
      </c>
      <c r="G213" t="inlineStr">
        <is>
          <t>2028-2030</t>
        </is>
      </c>
      <c r="H213" t="inlineStr">
        <is>
          <t>Centre of Excellence</t>
        </is>
      </c>
      <c r="I213" t="inlineStr">
        <is>
          <t>Proposed</t>
        </is>
      </c>
      <c r="J213" t="n">
        <v>3325</v>
      </c>
      <c r="K213" t="n">
        <v>2638</v>
      </c>
      <c r="L213" t="n">
        <v>687</v>
      </c>
      <c r="M213" t="n">
        <v>20.7</v>
      </c>
      <c r="N213" t="n">
        <v>57.44</v>
      </c>
      <c r="O213" t="n">
        <v>45</v>
      </c>
      <c r="P213" t="n">
        <v>2026</v>
      </c>
      <c r="Q213" t="n">
        <v>43</v>
      </c>
      <c r="R213" t="n">
        <v>93</v>
      </c>
      <c r="S213" t="n">
        <v>53</v>
      </c>
    </row>
    <row r="214">
      <c r="A214" t="n">
        <v>213</v>
      </c>
      <c r="B214" s="3" t="inlineStr">
        <is>
          <t>Critical</t>
        </is>
      </c>
      <c r="C214" t="inlineStr">
        <is>
          <t>Expand Transport training capacity</t>
        </is>
      </c>
      <c r="D214" t="inlineStr">
        <is>
          <t>Transport</t>
        </is>
      </c>
      <c r="E214" t="inlineStr">
        <is>
          <t>Transport Dept</t>
        </is>
      </c>
      <c r="F214" t="inlineStr">
        <is>
          <t>Varanasi</t>
        </is>
      </c>
      <c r="G214" t="inlineStr">
        <is>
          <t>2028-2030</t>
        </is>
      </c>
      <c r="H214" t="inlineStr">
        <is>
          <t>Skilling</t>
        </is>
      </c>
      <c r="I214" t="inlineStr">
        <is>
          <t>Under Review</t>
        </is>
      </c>
      <c r="J214" t="n">
        <v>11860</v>
      </c>
      <c r="K214" t="n">
        <v>5838</v>
      </c>
      <c r="L214" t="n">
        <v>6022</v>
      </c>
      <c r="M214" t="n">
        <v>50.8</v>
      </c>
      <c r="N214" t="n">
        <v>376.27</v>
      </c>
      <c r="O214" t="n">
        <v>22</v>
      </c>
      <c r="P214" t="n">
        <v>2025</v>
      </c>
      <c r="Q214" t="n">
        <v>48</v>
      </c>
      <c r="R214" t="n">
        <v>65</v>
      </c>
      <c r="S214" t="n">
        <v>73</v>
      </c>
    </row>
    <row r="215">
      <c r="A215" t="n">
        <v>214</v>
      </c>
      <c r="B215" s="2" t="inlineStr">
        <is>
          <t>Medium</t>
        </is>
      </c>
      <c r="C215" t="inlineStr">
        <is>
          <t>Industry-academia link for Urban Development</t>
        </is>
      </c>
      <c r="D215" t="inlineStr">
        <is>
          <t>Urban Development</t>
        </is>
      </c>
      <c r="E215" t="inlineStr">
        <is>
          <t>Urban Development Dept</t>
        </is>
      </c>
      <c r="F215" t="inlineStr">
        <is>
          <t>Lucknow</t>
        </is>
      </c>
      <c r="G215" t="inlineStr">
        <is>
          <t>2026-2028</t>
        </is>
      </c>
      <c r="H215" t="inlineStr">
        <is>
          <t>Apprenticeship</t>
        </is>
      </c>
      <c r="I215" t="inlineStr">
        <is>
          <t>Approved</t>
        </is>
      </c>
      <c r="J215" t="n">
        <v>2592</v>
      </c>
      <c r="K215" t="n">
        <v>770</v>
      </c>
      <c r="L215" t="n">
        <v>1822</v>
      </c>
      <c r="M215" t="n">
        <v>70.3</v>
      </c>
      <c r="N215" t="n">
        <v>468.07</v>
      </c>
      <c r="O215" t="n">
        <v>46</v>
      </c>
      <c r="P215" t="n">
        <v>2026</v>
      </c>
      <c r="Q215" t="n">
        <v>33</v>
      </c>
      <c r="R215" t="n">
        <v>59</v>
      </c>
      <c r="S215" t="n">
        <v>81</v>
      </c>
    </row>
    <row r="216">
      <c r="A216" t="n">
        <v>215</v>
      </c>
      <c r="B216" s="4" t="inlineStr">
        <is>
          <t>High</t>
        </is>
      </c>
      <c r="C216" t="inlineStr">
        <is>
          <t>Launch Public Works Centre of Excellence</t>
        </is>
      </c>
      <c r="D216" t="inlineStr">
        <is>
          <t>Public Works</t>
        </is>
      </c>
      <c r="E216" t="inlineStr">
        <is>
          <t>PWD</t>
        </is>
      </c>
      <c r="F216" t="inlineStr">
        <is>
          <t>Prayagraj</t>
        </is>
      </c>
      <c r="G216" t="inlineStr">
        <is>
          <t>2026-2028</t>
        </is>
      </c>
      <c r="H216" t="inlineStr">
        <is>
          <t>Curriculum Reform</t>
        </is>
      </c>
      <c r="I216" t="inlineStr">
        <is>
          <t>Approved</t>
        </is>
      </c>
      <c r="J216" t="n">
        <v>19305</v>
      </c>
      <c r="K216" t="n">
        <v>11690</v>
      </c>
      <c r="L216" t="n">
        <v>7615</v>
      </c>
      <c r="M216" t="n">
        <v>39.4</v>
      </c>
      <c r="N216" t="n">
        <v>57.13</v>
      </c>
      <c r="O216" t="n">
        <v>38</v>
      </c>
      <c r="P216" t="n">
        <v>2025</v>
      </c>
      <c r="Q216" t="n">
        <v>16</v>
      </c>
      <c r="R216" t="n">
        <v>55</v>
      </c>
      <c r="S216" t="n">
        <v>52</v>
      </c>
    </row>
    <row r="217">
      <c r="A217" t="n">
        <v>216</v>
      </c>
      <c r="B217" s="4" t="inlineStr">
        <is>
          <t>High</t>
        </is>
      </c>
      <c r="C217" t="inlineStr">
        <is>
          <t>Reskilling drive for Civil Aviation</t>
        </is>
      </c>
      <c r="D217" t="inlineStr">
        <is>
          <t>Civil Aviation</t>
        </is>
      </c>
      <c r="E217" t="inlineStr">
        <is>
          <t>UP Airport Authority</t>
        </is>
      </c>
      <c r="F217" t="inlineStr">
        <is>
          <t>Varanasi</t>
        </is>
      </c>
      <c r="G217" t="inlineStr">
        <is>
          <t>2025-2027</t>
        </is>
      </c>
      <c r="H217" t="inlineStr">
        <is>
          <t>Skilling</t>
        </is>
      </c>
      <c r="I217" t="inlineStr">
        <is>
          <t>Pending Funding</t>
        </is>
      </c>
      <c r="J217" t="n">
        <v>24770</v>
      </c>
      <c r="K217" t="n">
        <v>14658</v>
      </c>
      <c r="L217" t="n">
        <v>10112</v>
      </c>
      <c r="M217" t="n">
        <v>40.8</v>
      </c>
      <c r="N217" t="n">
        <v>109.32</v>
      </c>
      <c r="O217" t="n">
        <v>21</v>
      </c>
      <c r="P217" t="n">
        <v>2026</v>
      </c>
      <c r="Q217" t="n">
        <v>18</v>
      </c>
      <c r="R217" t="n">
        <v>81</v>
      </c>
      <c r="S217" t="n">
        <v>96</v>
      </c>
    </row>
    <row r="218">
      <c r="A218" t="n">
        <v>217</v>
      </c>
      <c r="B218" s="4" t="inlineStr">
        <is>
          <t>High</t>
        </is>
      </c>
      <c r="C218" t="inlineStr">
        <is>
          <t>ITI conversion to Manufacturing curriculum</t>
        </is>
      </c>
      <c r="D218" t="inlineStr">
        <is>
          <t>Manufacturing</t>
        </is>
      </c>
      <c r="E218" t="inlineStr">
        <is>
          <t>Invest UP</t>
        </is>
      </c>
      <c r="F218" t="inlineStr">
        <is>
          <t>Multi-district</t>
        </is>
      </c>
      <c r="G218" t="inlineStr">
        <is>
          <t>2028-2030</t>
        </is>
      </c>
      <c r="H218" t="inlineStr">
        <is>
          <t>Skilling</t>
        </is>
      </c>
      <c r="I218" t="inlineStr">
        <is>
          <t>Under Review</t>
        </is>
      </c>
      <c r="J218" t="n">
        <v>17400</v>
      </c>
      <c r="K218" t="n">
        <v>14547</v>
      </c>
      <c r="L218" t="n">
        <v>2853</v>
      </c>
      <c r="M218" t="n">
        <v>16.4</v>
      </c>
      <c r="N218" t="n">
        <v>458.05</v>
      </c>
      <c r="O218" t="n">
        <v>10</v>
      </c>
      <c r="P218" t="n">
        <v>2026</v>
      </c>
      <c r="Q218" t="n">
        <v>21</v>
      </c>
      <c r="R218" t="n">
        <v>84</v>
      </c>
      <c r="S218" t="n">
        <v>68</v>
      </c>
    </row>
    <row r="219">
      <c r="A219" t="n">
        <v>218</v>
      </c>
      <c r="B219" s="4" t="inlineStr">
        <is>
          <t>High</t>
        </is>
      </c>
      <c r="C219" t="inlineStr">
        <is>
          <t>Establish Manufacturing skilling hub</t>
        </is>
      </c>
      <c r="D219" t="inlineStr">
        <is>
          <t>Manufacturing</t>
        </is>
      </c>
      <c r="E219" t="inlineStr">
        <is>
          <t>Invest UP</t>
        </is>
      </c>
      <c r="F219" t="inlineStr">
        <is>
          <t>Jhansi</t>
        </is>
      </c>
      <c r="G219" t="inlineStr">
        <is>
          <t>2025-2027</t>
        </is>
      </c>
      <c r="H219" t="inlineStr">
        <is>
          <t>ITI Conversion</t>
        </is>
      </c>
      <c r="I219" t="inlineStr">
        <is>
          <t>Pending Funding</t>
        </is>
      </c>
      <c r="J219" t="n">
        <v>24734</v>
      </c>
      <c r="K219" t="n">
        <v>14025</v>
      </c>
      <c r="L219" t="n">
        <v>10709</v>
      </c>
      <c r="M219" t="n">
        <v>43.3</v>
      </c>
      <c r="N219" t="n">
        <v>223.76</v>
      </c>
      <c r="O219" t="n">
        <v>43</v>
      </c>
      <c r="P219" t="n">
        <v>2025</v>
      </c>
      <c r="Q219" t="n">
        <v>47</v>
      </c>
      <c r="R219" t="n">
        <v>86</v>
      </c>
      <c r="S219" t="n">
        <v>99</v>
      </c>
    </row>
    <row r="220">
      <c r="A220" t="n">
        <v>219</v>
      </c>
      <c r="B220" s="4" t="inlineStr">
        <is>
          <t>High</t>
        </is>
      </c>
      <c r="C220" t="inlineStr">
        <is>
          <t>PPP for Pharma &amp; Biotech apprenticeships</t>
        </is>
      </c>
      <c r="D220" t="inlineStr">
        <is>
          <t>Pharma &amp; Biotech</t>
        </is>
      </c>
      <c r="E220" t="inlineStr">
        <is>
          <t>Drugs Control</t>
        </is>
      </c>
      <c r="F220" t="inlineStr">
        <is>
          <t>Mathura</t>
        </is>
      </c>
      <c r="G220" t="inlineStr">
        <is>
          <t>2025-2026</t>
        </is>
      </c>
      <c r="H220" t="inlineStr">
        <is>
          <t>Centre of Excellence</t>
        </is>
      </c>
      <c r="I220" t="inlineStr">
        <is>
          <t>Pending Funding</t>
        </is>
      </c>
      <c r="J220" t="n">
        <v>21338</v>
      </c>
      <c r="K220" t="n">
        <v>15569</v>
      </c>
      <c r="L220" t="n">
        <v>5769</v>
      </c>
      <c r="M220" t="n">
        <v>27</v>
      </c>
      <c r="N220" t="n">
        <v>421.3</v>
      </c>
      <c r="O220" t="n">
        <v>27</v>
      </c>
      <c r="P220" t="n">
        <v>2028</v>
      </c>
      <c r="Q220" t="n">
        <v>25</v>
      </c>
      <c r="R220" t="n">
        <v>55</v>
      </c>
      <c r="S220" t="n">
        <v>98</v>
      </c>
    </row>
    <row r="221">
      <c r="A221" t="n">
        <v>220</v>
      </c>
      <c r="B221" s="4" t="inlineStr">
        <is>
          <t>High</t>
        </is>
      </c>
      <c r="C221" t="inlineStr">
        <is>
          <t>Fast-track recruitment for Agriculture &amp; Food Processing</t>
        </is>
      </c>
      <c r="D221" t="inlineStr">
        <is>
          <t>Agriculture &amp; Food Processing</t>
        </is>
      </c>
      <c r="E221" t="inlineStr">
        <is>
          <t>Agriculture Dept</t>
        </is>
      </c>
      <c r="F221" t="inlineStr">
        <is>
          <t>Meerut</t>
        </is>
      </c>
      <c r="G221" t="inlineStr">
        <is>
          <t>2026-2030</t>
        </is>
      </c>
      <c r="H221" t="inlineStr">
        <is>
          <t>Fast-track Hiring</t>
        </is>
      </c>
      <c r="I221" t="inlineStr">
        <is>
          <t>Proposed</t>
        </is>
      </c>
      <c r="J221" t="n">
        <v>23819</v>
      </c>
      <c r="K221" t="n">
        <v>7380</v>
      </c>
      <c r="L221" t="n">
        <v>16439</v>
      </c>
      <c r="M221" t="n">
        <v>69</v>
      </c>
      <c r="N221" t="n">
        <v>22.98</v>
      </c>
      <c r="O221" t="n">
        <v>20</v>
      </c>
      <c r="P221" t="n">
        <v>2028</v>
      </c>
      <c r="Q221" t="n">
        <v>58</v>
      </c>
      <c r="R221" t="n">
        <v>88</v>
      </c>
      <c r="S221" t="n">
        <v>76</v>
      </c>
    </row>
    <row r="222">
      <c r="A222" t="n">
        <v>221</v>
      </c>
      <c r="B222" s="5" t="inlineStr">
        <is>
          <t>Low</t>
        </is>
      </c>
      <c r="C222" t="inlineStr">
        <is>
          <t>Fast-track recruitment for Public Works</t>
        </is>
      </c>
      <c r="D222" t="inlineStr">
        <is>
          <t>Public Works</t>
        </is>
      </c>
      <c r="E222" t="inlineStr">
        <is>
          <t>UPRNN</t>
        </is>
      </c>
      <c r="F222" t="inlineStr">
        <is>
          <t>Noida</t>
        </is>
      </c>
      <c r="G222" t="inlineStr">
        <is>
          <t>2027-2030</t>
        </is>
      </c>
      <c r="H222" t="inlineStr">
        <is>
          <t>Recruitment</t>
        </is>
      </c>
      <c r="I222" t="inlineStr">
        <is>
          <t>Pending Funding</t>
        </is>
      </c>
      <c r="J222" t="n">
        <v>21380</v>
      </c>
      <c r="K222" t="n">
        <v>15286</v>
      </c>
      <c r="L222" t="n">
        <v>6094</v>
      </c>
      <c r="M222" t="n">
        <v>28.5</v>
      </c>
      <c r="N222" t="n">
        <v>37.77</v>
      </c>
      <c r="O222" t="n">
        <v>42</v>
      </c>
      <c r="P222" t="n">
        <v>2028</v>
      </c>
      <c r="Q222" t="n">
        <v>9</v>
      </c>
      <c r="R222" t="n">
        <v>58</v>
      </c>
      <c r="S222" t="n">
        <v>77</v>
      </c>
    </row>
    <row r="223">
      <c r="A223" t="n">
        <v>222</v>
      </c>
      <c r="B223" s="4" t="inlineStr">
        <is>
          <t>High</t>
        </is>
      </c>
      <c r="C223" t="inlineStr">
        <is>
          <t>Expand Defence training capacity</t>
        </is>
      </c>
      <c r="D223" t="inlineStr">
        <is>
          <t>Defence</t>
        </is>
      </c>
      <c r="E223" t="inlineStr">
        <is>
          <t>UP Defence Corridor Authority</t>
        </is>
      </c>
      <c r="F223" t="inlineStr">
        <is>
          <t>Aligarh</t>
        </is>
      </c>
      <c r="G223" t="inlineStr">
        <is>
          <t>2026-2030</t>
        </is>
      </c>
      <c r="H223" t="inlineStr">
        <is>
          <t>PPP Partnership</t>
        </is>
      </c>
      <c r="I223" t="inlineStr">
        <is>
          <t>Approved</t>
        </is>
      </c>
      <c r="J223" t="n">
        <v>9411</v>
      </c>
      <c r="K223" t="n">
        <v>2589</v>
      </c>
      <c r="L223" t="n">
        <v>6822</v>
      </c>
      <c r="M223" t="n">
        <v>72.5</v>
      </c>
      <c r="N223" t="n">
        <v>453.02</v>
      </c>
      <c r="O223" t="n">
        <v>14</v>
      </c>
      <c r="P223" t="n">
        <v>2025</v>
      </c>
      <c r="Q223" t="n">
        <v>7</v>
      </c>
      <c r="R223" t="n">
        <v>92</v>
      </c>
      <c r="S223" t="n">
        <v>56</v>
      </c>
    </row>
    <row r="224">
      <c r="A224" t="n">
        <v>223</v>
      </c>
      <c r="B224" s="4" t="inlineStr">
        <is>
          <t>High</t>
        </is>
      </c>
      <c r="C224" t="inlineStr">
        <is>
          <t>ITI conversion to Transport curriculum</t>
        </is>
      </c>
      <c r="D224" t="inlineStr">
        <is>
          <t>Transport</t>
        </is>
      </c>
      <c r="E224" t="inlineStr">
        <is>
          <t>UPSRTC</t>
        </is>
      </c>
      <c r="F224" t="inlineStr">
        <is>
          <t>Mathura</t>
        </is>
      </c>
      <c r="G224" t="inlineStr">
        <is>
          <t>2025-2026</t>
        </is>
      </c>
      <c r="H224" t="inlineStr">
        <is>
          <t>University Tie-up</t>
        </is>
      </c>
      <c r="I224" t="inlineStr">
        <is>
          <t>Approved</t>
        </is>
      </c>
      <c r="J224" t="n">
        <v>15308</v>
      </c>
      <c r="K224" t="n">
        <v>5070</v>
      </c>
      <c r="L224" t="n">
        <v>10238</v>
      </c>
      <c r="M224" t="n">
        <v>66.90000000000001</v>
      </c>
      <c r="N224" t="n">
        <v>128.67</v>
      </c>
      <c r="O224" t="n">
        <v>13</v>
      </c>
      <c r="P224" t="n">
        <v>2028</v>
      </c>
      <c r="Q224" t="n">
        <v>20</v>
      </c>
      <c r="R224" t="n">
        <v>60</v>
      </c>
      <c r="S224" t="n">
        <v>60</v>
      </c>
    </row>
    <row r="225">
      <c r="A225" t="n">
        <v>224</v>
      </c>
      <c r="B225" s="4" t="inlineStr">
        <is>
          <t>High</t>
        </is>
      </c>
      <c r="C225" t="inlineStr">
        <is>
          <t>PPP for Textile &amp; Apparel apprenticeships</t>
        </is>
      </c>
      <c r="D225" t="inlineStr">
        <is>
          <t>Textile &amp; Apparel</t>
        </is>
      </c>
      <c r="E225" t="inlineStr">
        <is>
          <t>Handloom &amp; Textiles Dept</t>
        </is>
      </c>
      <c r="F225" t="inlineStr">
        <is>
          <t>Aligarh</t>
        </is>
      </c>
      <c r="G225" t="inlineStr">
        <is>
          <t>2025-2027</t>
        </is>
      </c>
      <c r="H225" t="inlineStr">
        <is>
          <t>Recruitment</t>
        </is>
      </c>
      <c r="I225" t="inlineStr">
        <is>
          <t>Under Review</t>
        </is>
      </c>
      <c r="J225" t="n">
        <v>13484</v>
      </c>
      <c r="K225" t="n">
        <v>6541</v>
      </c>
      <c r="L225" t="n">
        <v>6943</v>
      </c>
      <c r="M225" t="n">
        <v>51.5</v>
      </c>
      <c r="N225" t="n">
        <v>325.69</v>
      </c>
      <c r="O225" t="n">
        <v>22</v>
      </c>
      <c r="P225" t="n">
        <v>2026</v>
      </c>
      <c r="Q225" t="n">
        <v>55</v>
      </c>
      <c r="R225" t="n">
        <v>66</v>
      </c>
      <c r="S225" t="n">
        <v>51</v>
      </c>
    </row>
    <row r="226">
      <c r="A226" t="n">
        <v>225</v>
      </c>
      <c r="B226" s="3" t="inlineStr">
        <is>
          <t>Critical</t>
        </is>
      </c>
      <c r="C226" t="inlineStr">
        <is>
          <t>Scale Skill Development workforce pipeline</t>
        </is>
      </c>
      <c r="D226" t="inlineStr">
        <is>
          <t>Skill Development</t>
        </is>
      </c>
      <c r="E226" t="inlineStr">
        <is>
          <t>UPSDM</t>
        </is>
      </c>
      <c r="F226" t="inlineStr">
        <is>
          <t>Ghaziabad</t>
        </is>
      </c>
      <c r="G226" t="inlineStr">
        <is>
          <t>2025-2027</t>
        </is>
      </c>
      <c r="H226" t="inlineStr">
        <is>
          <t>Recruitment</t>
        </is>
      </c>
      <c r="I226" t="inlineStr">
        <is>
          <t>Proposed</t>
        </is>
      </c>
      <c r="J226" t="n">
        <v>7783</v>
      </c>
      <c r="K226" t="n">
        <v>1541</v>
      </c>
      <c r="L226" t="n">
        <v>6242</v>
      </c>
      <c r="M226" t="n">
        <v>80.2</v>
      </c>
      <c r="N226" t="n">
        <v>395.72</v>
      </c>
      <c r="O226" t="n">
        <v>29</v>
      </c>
      <c r="P226" t="n">
        <v>2028</v>
      </c>
      <c r="Q226" t="n">
        <v>6</v>
      </c>
      <c r="R226" t="n">
        <v>98</v>
      </c>
      <c r="S226" t="n">
        <v>90</v>
      </c>
    </row>
    <row r="227">
      <c r="A227" t="n">
        <v>226</v>
      </c>
      <c r="B227" s="5" t="inlineStr">
        <is>
          <t>Low</t>
        </is>
      </c>
      <c r="C227" t="inlineStr">
        <is>
          <t>Build Logistics &amp; Warehousing talent corridor</t>
        </is>
      </c>
      <c r="D227" t="inlineStr">
        <is>
          <t>Logistics &amp; Warehousing</t>
        </is>
      </c>
      <c r="E227" t="inlineStr">
        <is>
          <t>UPSIDA</t>
        </is>
      </c>
      <c r="F227" t="inlineStr">
        <is>
          <t>Noida</t>
        </is>
      </c>
      <c r="G227" t="inlineStr">
        <is>
          <t>2025-2026</t>
        </is>
      </c>
      <c r="H227" t="inlineStr">
        <is>
          <t>Recruitment</t>
        </is>
      </c>
      <c r="I227" t="inlineStr">
        <is>
          <t>Under Review</t>
        </is>
      </c>
      <c r="J227" t="n">
        <v>15030</v>
      </c>
      <c r="K227" t="n">
        <v>10625</v>
      </c>
      <c r="L227" t="n">
        <v>4405</v>
      </c>
      <c r="M227" t="n">
        <v>29.3</v>
      </c>
      <c r="N227" t="n">
        <v>45.97</v>
      </c>
      <c r="O227" t="n">
        <v>27</v>
      </c>
      <c r="P227" t="n">
        <v>2026</v>
      </c>
      <c r="Q227" t="n">
        <v>4</v>
      </c>
      <c r="R227" t="n">
        <v>62</v>
      </c>
      <c r="S227" t="n">
        <v>52</v>
      </c>
    </row>
    <row r="228">
      <c r="A228" t="n">
        <v>227</v>
      </c>
      <c r="B228" s="4" t="inlineStr">
        <is>
          <t>High</t>
        </is>
      </c>
      <c r="C228" t="inlineStr">
        <is>
          <t>Build Transport talent corridor</t>
        </is>
      </c>
      <c r="D228" t="inlineStr">
        <is>
          <t>Transport</t>
        </is>
      </c>
      <c r="E228" t="inlineStr">
        <is>
          <t>Metro Rail Corp</t>
        </is>
      </c>
      <c r="F228" t="inlineStr">
        <is>
          <t>Ayodhya</t>
        </is>
      </c>
      <c r="G228" t="inlineStr">
        <is>
          <t>2026-2030</t>
        </is>
      </c>
      <c r="H228" t="inlineStr">
        <is>
          <t>Skilling</t>
        </is>
      </c>
      <c r="I228" t="inlineStr">
        <is>
          <t>In Execution</t>
        </is>
      </c>
      <c r="J228" t="n">
        <v>14480</v>
      </c>
      <c r="K228" t="n">
        <v>3324</v>
      </c>
      <c r="L228" t="n">
        <v>11156</v>
      </c>
      <c r="M228" t="n">
        <v>77</v>
      </c>
      <c r="N228" t="n">
        <v>104.63</v>
      </c>
      <c r="O228" t="n">
        <v>17</v>
      </c>
      <c r="P228" t="n">
        <v>2026</v>
      </c>
      <c r="Q228" t="n">
        <v>57</v>
      </c>
      <c r="R228" t="n">
        <v>72</v>
      </c>
      <c r="S228" t="n">
        <v>67</v>
      </c>
    </row>
    <row r="229">
      <c r="A229" t="n">
        <v>228</v>
      </c>
      <c r="B229" s="2" t="inlineStr">
        <is>
          <t>Medium</t>
        </is>
      </c>
      <c r="C229" t="inlineStr">
        <is>
          <t>Education cadre restructuring</t>
        </is>
      </c>
      <c r="D229" t="inlineStr">
        <is>
          <t>Education</t>
        </is>
      </c>
      <c r="E229" t="inlineStr">
        <is>
          <t>Basic Education</t>
        </is>
      </c>
      <c r="F229" t="inlineStr">
        <is>
          <t>Meerut</t>
        </is>
      </c>
      <c r="G229" t="inlineStr">
        <is>
          <t>2028-2030</t>
        </is>
      </c>
      <c r="H229" t="inlineStr">
        <is>
          <t>ITI Conversion</t>
        </is>
      </c>
      <c r="I229" t="inlineStr">
        <is>
          <t>In Execution</t>
        </is>
      </c>
      <c r="J229" t="n">
        <v>18544</v>
      </c>
      <c r="K229" t="n">
        <v>8516</v>
      </c>
      <c r="L229" t="n">
        <v>10028</v>
      </c>
      <c r="M229" t="n">
        <v>54.1</v>
      </c>
      <c r="N229" t="n">
        <v>43.93</v>
      </c>
      <c r="O229" t="n">
        <v>30</v>
      </c>
      <c r="P229" t="n">
        <v>2025</v>
      </c>
      <c r="Q229" t="n">
        <v>42</v>
      </c>
      <c r="R229" t="n">
        <v>63</v>
      </c>
      <c r="S229" t="n">
        <v>76</v>
      </c>
    </row>
    <row r="230">
      <c r="A230" t="n">
        <v>229</v>
      </c>
      <c r="B230" s="2" t="inlineStr">
        <is>
          <t>Medium</t>
        </is>
      </c>
      <c r="C230" t="inlineStr">
        <is>
          <t>Industry-academia link for AI &amp; Data Centres</t>
        </is>
      </c>
      <c r="D230" t="inlineStr">
        <is>
          <t>AI &amp; Data Centres</t>
        </is>
      </c>
      <c r="E230" t="inlineStr">
        <is>
          <t>IT &amp; Electronics Dept</t>
        </is>
      </c>
      <c r="F230" t="inlineStr">
        <is>
          <t>Lucknow</t>
        </is>
      </c>
      <c r="G230" t="inlineStr">
        <is>
          <t>2026-2030</t>
        </is>
      </c>
      <c r="H230" t="inlineStr">
        <is>
          <t>PPP Partnership</t>
        </is>
      </c>
      <c r="I230" t="inlineStr">
        <is>
          <t>In Execution</t>
        </is>
      </c>
      <c r="J230" t="n">
        <v>16381</v>
      </c>
      <c r="K230" t="n">
        <v>5864</v>
      </c>
      <c r="L230" t="n">
        <v>10517</v>
      </c>
      <c r="M230" t="n">
        <v>64.2</v>
      </c>
      <c r="N230" t="n">
        <v>272.38</v>
      </c>
      <c r="O230" t="n">
        <v>26</v>
      </c>
      <c r="P230" t="n">
        <v>2025</v>
      </c>
      <c r="Q230" t="n">
        <v>2</v>
      </c>
      <c r="R230" t="n">
        <v>79</v>
      </c>
      <c r="S230" t="n">
        <v>67</v>
      </c>
    </row>
    <row r="231">
      <c r="A231" t="n">
        <v>230</v>
      </c>
      <c r="B231" s="3" t="inlineStr">
        <is>
          <t>Critical</t>
        </is>
      </c>
      <c r="C231" t="inlineStr">
        <is>
          <t>PPP for Tourism &amp; Hospitality apprenticeships</t>
        </is>
      </c>
      <c r="D231" t="inlineStr">
        <is>
          <t>Tourism &amp; Hospitality</t>
        </is>
      </c>
      <c r="E231" t="inlineStr">
        <is>
          <t>Tourism Dept</t>
        </is>
      </c>
      <c r="F231" t="inlineStr">
        <is>
          <t>Bareilly</t>
        </is>
      </c>
      <c r="G231" t="inlineStr">
        <is>
          <t>2025-2026</t>
        </is>
      </c>
      <c r="H231" t="inlineStr">
        <is>
          <t>Fast-track Hiring</t>
        </is>
      </c>
      <c r="I231" t="inlineStr">
        <is>
          <t>Pending Funding</t>
        </is>
      </c>
      <c r="J231" t="n">
        <v>19636</v>
      </c>
      <c r="K231" t="n">
        <v>16684</v>
      </c>
      <c r="L231" t="n">
        <v>2952</v>
      </c>
      <c r="M231" t="n">
        <v>15</v>
      </c>
      <c r="N231" t="n">
        <v>467.56</v>
      </c>
      <c r="O231" t="n">
        <v>12</v>
      </c>
      <c r="P231" t="n">
        <v>2025</v>
      </c>
      <c r="Q231" t="n">
        <v>18</v>
      </c>
      <c r="R231" t="n">
        <v>70</v>
      </c>
      <c r="S231" t="n">
        <v>92</v>
      </c>
    </row>
    <row r="232">
      <c r="A232" t="n">
        <v>231</v>
      </c>
      <c r="B232" s="2" t="inlineStr">
        <is>
          <t>Medium</t>
        </is>
      </c>
      <c r="C232" t="inlineStr">
        <is>
          <t>Fast-track recruitment for Pharma &amp; Biotech</t>
        </is>
      </c>
      <c r="D232" t="inlineStr">
        <is>
          <t>Pharma &amp; Biotech</t>
        </is>
      </c>
      <c r="E232" t="inlineStr">
        <is>
          <t>Drugs Control</t>
        </is>
      </c>
      <c r="F232" t="inlineStr">
        <is>
          <t>Meerut</t>
        </is>
      </c>
      <c r="G232" t="inlineStr">
        <is>
          <t>2027-2030</t>
        </is>
      </c>
      <c r="H232" t="inlineStr">
        <is>
          <t>Apprenticeship</t>
        </is>
      </c>
      <c r="I232" t="inlineStr">
        <is>
          <t>Approved</t>
        </is>
      </c>
      <c r="J232" t="n">
        <v>6270</v>
      </c>
      <c r="K232" t="n">
        <v>1739</v>
      </c>
      <c r="L232" t="n">
        <v>4531</v>
      </c>
      <c r="M232" t="n">
        <v>72.3</v>
      </c>
      <c r="N232" t="n">
        <v>154.01</v>
      </c>
      <c r="O232" t="n">
        <v>28</v>
      </c>
      <c r="P232" t="n">
        <v>2028</v>
      </c>
      <c r="Q232" t="n">
        <v>45</v>
      </c>
      <c r="R232" t="n">
        <v>92</v>
      </c>
      <c r="S232" t="n">
        <v>51</v>
      </c>
    </row>
    <row r="233">
      <c r="A233" t="n">
        <v>232</v>
      </c>
      <c r="B233" s="2" t="inlineStr">
        <is>
          <t>Medium</t>
        </is>
      </c>
      <c r="C233" t="inlineStr">
        <is>
          <t>Fast-track recruitment for Public Works</t>
        </is>
      </c>
      <c r="D233" t="inlineStr">
        <is>
          <t>Public Works</t>
        </is>
      </c>
      <c r="E233" t="inlineStr">
        <is>
          <t>PWD</t>
        </is>
      </c>
      <c r="F233" t="inlineStr">
        <is>
          <t>Agra</t>
        </is>
      </c>
      <c r="G233" t="inlineStr">
        <is>
          <t>2026-2030</t>
        </is>
      </c>
      <c r="H233" t="inlineStr">
        <is>
          <t>University Tie-up</t>
        </is>
      </c>
      <c r="I233" t="inlineStr">
        <is>
          <t>Approved</t>
        </is>
      </c>
      <c r="J233" t="n">
        <v>16570</v>
      </c>
      <c r="K233" t="n">
        <v>2128</v>
      </c>
      <c r="L233" t="n">
        <v>14442</v>
      </c>
      <c r="M233" t="n">
        <v>87.2</v>
      </c>
      <c r="N233" t="n">
        <v>28.85</v>
      </c>
      <c r="O233" t="n">
        <v>44</v>
      </c>
      <c r="P233" t="n">
        <v>2027</v>
      </c>
      <c r="Q233" t="n">
        <v>31</v>
      </c>
      <c r="R233" t="n">
        <v>69</v>
      </c>
      <c r="S233" t="n">
        <v>51</v>
      </c>
    </row>
    <row r="234">
      <c r="A234" t="n">
        <v>233</v>
      </c>
      <c r="B234" s="5" t="inlineStr">
        <is>
          <t>Low</t>
        </is>
      </c>
      <c r="C234" t="inlineStr">
        <is>
          <t>PPP for IT &amp; Electronics apprenticeships</t>
        </is>
      </c>
      <c r="D234" t="inlineStr">
        <is>
          <t>IT &amp; Electronics</t>
        </is>
      </c>
      <c r="E234" t="inlineStr">
        <is>
          <t>UPDESCO</t>
        </is>
      </c>
      <c r="F234" t="inlineStr">
        <is>
          <t>Agra</t>
        </is>
      </c>
      <c r="G234" t="inlineStr">
        <is>
          <t>2025-2027</t>
        </is>
      </c>
      <c r="H234" t="inlineStr">
        <is>
          <t>PPP Partnership</t>
        </is>
      </c>
      <c r="I234" t="inlineStr">
        <is>
          <t>Under Review</t>
        </is>
      </c>
      <c r="J234" t="n">
        <v>2451</v>
      </c>
      <c r="K234" t="n">
        <v>285</v>
      </c>
      <c r="L234" t="n">
        <v>2166</v>
      </c>
      <c r="M234" t="n">
        <v>88.40000000000001</v>
      </c>
      <c r="N234" t="n">
        <v>282.4</v>
      </c>
      <c r="O234" t="n">
        <v>15</v>
      </c>
      <c r="P234" t="n">
        <v>2026</v>
      </c>
      <c r="Q234" t="n">
        <v>5</v>
      </c>
      <c r="R234" t="n">
        <v>62</v>
      </c>
      <c r="S234" t="n">
        <v>83</v>
      </c>
    </row>
    <row r="235">
      <c r="A235" t="n">
        <v>234</v>
      </c>
      <c r="B235" s="2" t="inlineStr">
        <is>
          <t>Medium</t>
        </is>
      </c>
      <c r="C235" t="inlineStr">
        <is>
          <t>Fast-track recruitment for Public Works</t>
        </is>
      </c>
      <c r="D235" t="inlineStr">
        <is>
          <t>Public Works</t>
        </is>
      </c>
      <c r="E235" t="inlineStr">
        <is>
          <t>UPRNN</t>
        </is>
      </c>
      <c r="F235" t="inlineStr">
        <is>
          <t>Aligarh</t>
        </is>
      </c>
      <c r="G235" t="inlineStr">
        <is>
          <t>2026-2028</t>
        </is>
      </c>
      <c r="H235" t="inlineStr">
        <is>
          <t>PPP Partnership</t>
        </is>
      </c>
      <c r="I235" t="inlineStr">
        <is>
          <t>Under Review</t>
        </is>
      </c>
      <c r="J235" t="n">
        <v>24497</v>
      </c>
      <c r="K235" t="n">
        <v>19879</v>
      </c>
      <c r="L235" t="n">
        <v>4618</v>
      </c>
      <c r="M235" t="n">
        <v>18.9</v>
      </c>
      <c r="N235" t="n">
        <v>380.5</v>
      </c>
      <c r="O235" t="n">
        <v>37</v>
      </c>
      <c r="P235" t="n">
        <v>2025</v>
      </c>
      <c r="Q235" t="n">
        <v>46</v>
      </c>
      <c r="R235" t="n">
        <v>96</v>
      </c>
      <c r="S235" t="n">
        <v>70</v>
      </c>
    </row>
    <row r="236">
      <c r="A236" t="n">
        <v>235</v>
      </c>
      <c r="B236" s="4" t="inlineStr">
        <is>
          <t>High</t>
        </is>
      </c>
      <c r="C236" t="inlineStr">
        <is>
          <t>Fast-track recruitment for Pharma &amp; Biotech</t>
        </is>
      </c>
      <c r="D236" t="inlineStr">
        <is>
          <t>Pharma &amp; Biotech</t>
        </is>
      </c>
      <c r="E236" t="inlineStr">
        <is>
          <t>Medical Education</t>
        </is>
      </c>
      <c r="F236" t="inlineStr">
        <is>
          <t>Prayagraj</t>
        </is>
      </c>
      <c r="G236" t="inlineStr">
        <is>
          <t>2026-2030</t>
        </is>
      </c>
      <c r="H236" t="inlineStr">
        <is>
          <t>ITI Conversion</t>
        </is>
      </c>
      <c r="I236" t="inlineStr">
        <is>
          <t>Approved</t>
        </is>
      </c>
      <c r="J236" t="n">
        <v>6323</v>
      </c>
      <c r="K236" t="n">
        <v>4088</v>
      </c>
      <c r="L236" t="n">
        <v>2235</v>
      </c>
      <c r="M236" t="n">
        <v>35.3</v>
      </c>
      <c r="N236" t="n">
        <v>455.52</v>
      </c>
      <c r="O236" t="n">
        <v>42</v>
      </c>
      <c r="P236" t="n">
        <v>2027</v>
      </c>
      <c r="Q236" t="n">
        <v>3</v>
      </c>
      <c r="R236" t="n">
        <v>80</v>
      </c>
      <c r="S236" t="n">
        <v>99</v>
      </c>
    </row>
    <row r="237">
      <c r="A237" t="n">
        <v>236</v>
      </c>
      <c r="B237" s="4" t="inlineStr">
        <is>
          <t>High</t>
        </is>
      </c>
      <c r="C237" t="inlineStr">
        <is>
          <t>Expand Transport training capacity</t>
        </is>
      </c>
      <c r="D237" t="inlineStr">
        <is>
          <t>Transport</t>
        </is>
      </c>
      <c r="E237" t="inlineStr">
        <is>
          <t>Metro Rail Corp</t>
        </is>
      </c>
      <c r="F237" t="inlineStr">
        <is>
          <t>Meerut</t>
        </is>
      </c>
      <c r="G237" t="inlineStr">
        <is>
          <t>2028-2030</t>
        </is>
      </c>
      <c r="H237" t="inlineStr">
        <is>
          <t>Certification Program</t>
        </is>
      </c>
      <c r="I237" t="inlineStr">
        <is>
          <t>Proposed</t>
        </is>
      </c>
      <c r="J237" t="n">
        <v>5108</v>
      </c>
      <c r="K237" t="n">
        <v>1779</v>
      </c>
      <c r="L237" t="n">
        <v>3329</v>
      </c>
      <c r="M237" t="n">
        <v>65.2</v>
      </c>
      <c r="N237" t="n">
        <v>39.19</v>
      </c>
      <c r="O237" t="n">
        <v>28</v>
      </c>
      <c r="P237" t="n">
        <v>2028</v>
      </c>
      <c r="Q237" t="n">
        <v>57</v>
      </c>
      <c r="R237" t="n">
        <v>75</v>
      </c>
      <c r="S237" t="n">
        <v>60</v>
      </c>
    </row>
    <row r="238">
      <c r="A238" t="n">
        <v>237</v>
      </c>
      <c r="B238" s="2" t="inlineStr">
        <is>
          <t>Medium</t>
        </is>
      </c>
      <c r="C238" t="inlineStr">
        <is>
          <t>ITI conversion to Manufacturing curriculum</t>
        </is>
      </c>
      <c r="D238" t="inlineStr">
        <is>
          <t>Manufacturing</t>
        </is>
      </c>
      <c r="E238" t="inlineStr">
        <is>
          <t>Invest UP</t>
        </is>
      </c>
      <c r="F238" t="inlineStr">
        <is>
          <t>Aligarh</t>
        </is>
      </c>
      <c r="G238" t="inlineStr">
        <is>
          <t>2026-2030</t>
        </is>
      </c>
      <c r="H238" t="inlineStr">
        <is>
          <t>Skilling</t>
        </is>
      </c>
      <c r="I238" t="inlineStr">
        <is>
          <t>Approved</t>
        </is>
      </c>
      <c r="J238" t="n">
        <v>8676</v>
      </c>
      <c r="K238" t="n">
        <v>5378</v>
      </c>
      <c r="L238" t="n">
        <v>3298</v>
      </c>
      <c r="M238" t="n">
        <v>38</v>
      </c>
      <c r="N238" t="n">
        <v>169.53</v>
      </c>
      <c r="O238" t="n">
        <v>12</v>
      </c>
      <c r="P238" t="n">
        <v>2026</v>
      </c>
      <c r="Q238" t="n">
        <v>29</v>
      </c>
      <c r="R238" t="n">
        <v>55</v>
      </c>
      <c r="S238" t="n">
        <v>53</v>
      </c>
    </row>
    <row r="239">
      <c r="A239" t="n">
        <v>238</v>
      </c>
      <c r="B239" s="5" t="inlineStr">
        <is>
          <t>Low</t>
        </is>
      </c>
      <c r="C239" t="inlineStr">
        <is>
          <t>Revenue cadre restructuring</t>
        </is>
      </c>
      <c r="D239" t="inlineStr">
        <is>
          <t>Revenue</t>
        </is>
      </c>
      <c r="E239" t="inlineStr">
        <is>
          <t>Revenue Dept</t>
        </is>
      </c>
      <c r="F239" t="inlineStr">
        <is>
          <t>Saharanpur</t>
        </is>
      </c>
      <c r="G239" t="inlineStr">
        <is>
          <t>2026-2030</t>
        </is>
      </c>
      <c r="H239" t="inlineStr">
        <is>
          <t>PPP Partnership</t>
        </is>
      </c>
      <c r="I239" t="inlineStr">
        <is>
          <t>Pending Funding</t>
        </is>
      </c>
      <c r="J239" t="n">
        <v>3823</v>
      </c>
      <c r="K239" t="n">
        <v>2758</v>
      </c>
      <c r="L239" t="n">
        <v>1065</v>
      </c>
      <c r="M239" t="n">
        <v>27.9</v>
      </c>
      <c r="N239" t="n">
        <v>379.01</v>
      </c>
      <c r="O239" t="n">
        <v>42</v>
      </c>
      <c r="P239" t="n">
        <v>2028</v>
      </c>
      <c r="Q239" t="n">
        <v>15</v>
      </c>
      <c r="R239" t="n">
        <v>96</v>
      </c>
      <c r="S239" t="n">
        <v>98</v>
      </c>
    </row>
    <row r="240">
      <c r="A240" t="n">
        <v>239</v>
      </c>
      <c r="B240" s="3" t="inlineStr">
        <is>
          <t>Critical</t>
        </is>
      </c>
      <c r="C240" t="inlineStr">
        <is>
          <t>Establish Transport skilling hub</t>
        </is>
      </c>
      <c r="D240" t="inlineStr">
        <is>
          <t>Transport</t>
        </is>
      </c>
      <c r="E240" t="inlineStr">
        <is>
          <t>UPSRTC</t>
        </is>
      </c>
      <c r="F240" t="inlineStr">
        <is>
          <t>Kanpur</t>
        </is>
      </c>
      <c r="G240" t="inlineStr">
        <is>
          <t>2026-2028</t>
        </is>
      </c>
      <c r="H240" t="inlineStr">
        <is>
          <t>Skilling</t>
        </is>
      </c>
      <c r="I240" t="inlineStr">
        <is>
          <t>Approved</t>
        </is>
      </c>
      <c r="J240" t="n">
        <v>3931</v>
      </c>
      <c r="K240" t="n">
        <v>611</v>
      </c>
      <c r="L240" t="n">
        <v>3320</v>
      </c>
      <c r="M240" t="n">
        <v>84.5</v>
      </c>
      <c r="N240" t="n">
        <v>83.31</v>
      </c>
      <c r="O240" t="n">
        <v>30</v>
      </c>
      <c r="P240" t="n">
        <v>2025</v>
      </c>
      <c r="Q240" t="n">
        <v>36</v>
      </c>
      <c r="R240" t="n">
        <v>65</v>
      </c>
      <c r="S240" t="n">
        <v>96</v>
      </c>
    </row>
    <row r="241">
      <c r="A241" t="n">
        <v>240</v>
      </c>
      <c r="B241" s="2" t="inlineStr">
        <is>
          <t>Medium</t>
        </is>
      </c>
      <c r="C241" t="inlineStr">
        <is>
          <t>Build Manufacturing talent corridor</t>
        </is>
      </c>
      <c r="D241" t="inlineStr">
        <is>
          <t>Manufacturing</t>
        </is>
      </c>
      <c r="E241" t="inlineStr">
        <is>
          <t>MSME Dept</t>
        </is>
      </c>
      <c r="F241" t="inlineStr">
        <is>
          <t>Saharanpur</t>
        </is>
      </c>
      <c r="G241" t="inlineStr">
        <is>
          <t>2028-2030</t>
        </is>
      </c>
      <c r="H241" t="inlineStr">
        <is>
          <t>Skilling</t>
        </is>
      </c>
      <c r="I241" t="inlineStr">
        <is>
          <t>In Execution</t>
        </is>
      </c>
      <c r="J241" t="n">
        <v>5906</v>
      </c>
      <c r="K241" t="n">
        <v>3280</v>
      </c>
      <c r="L241" t="n">
        <v>2626</v>
      </c>
      <c r="M241" t="n">
        <v>44.5</v>
      </c>
      <c r="N241" t="n">
        <v>209.55</v>
      </c>
      <c r="O241" t="n">
        <v>9</v>
      </c>
      <c r="P241" t="n">
        <v>2025</v>
      </c>
      <c r="Q241" t="n">
        <v>13</v>
      </c>
      <c r="R241" t="n">
        <v>61</v>
      </c>
      <c r="S241" t="n">
        <v>71</v>
      </c>
    </row>
    <row r="242">
      <c r="A242" t="n">
        <v>241</v>
      </c>
      <c r="B242" s="2" t="inlineStr">
        <is>
          <t>Medium</t>
        </is>
      </c>
      <c r="C242" t="inlineStr">
        <is>
          <t>Revenue cadre restructuring</t>
        </is>
      </c>
      <c r="D242" t="inlineStr">
        <is>
          <t>Revenue</t>
        </is>
      </c>
      <c r="E242" t="inlineStr">
        <is>
          <t>Board of Revenue</t>
        </is>
      </c>
      <c r="F242" t="inlineStr">
        <is>
          <t>Gorakhpur</t>
        </is>
      </c>
      <c r="G242" t="inlineStr">
        <is>
          <t>2025-2027</t>
        </is>
      </c>
      <c r="H242" t="inlineStr">
        <is>
          <t>Recruitment</t>
        </is>
      </c>
      <c r="I242" t="inlineStr">
        <is>
          <t>Proposed</t>
        </is>
      </c>
      <c r="J242" t="n">
        <v>19235</v>
      </c>
      <c r="K242" t="n">
        <v>9853</v>
      </c>
      <c r="L242" t="n">
        <v>9382</v>
      </c>
      <c r="M242" t="n">
        <v>48.8</v>
      </c>
      <c r="N242" t="n">
        <v>236.67</v>
      </c>
      <c r="O242" t="n">
        <v>9</v>
      </c>
      <c r="P242" t="n">
        <v>2026</v>
      </c>
      <c r="Q242" t="n">
        <v>6</v>
      </c>
      <c r="R242" t="n">
        <v>78</v>
      </c>
      <c r="S242" t="n">
        <v>50</v>
      </c>
    </row>
    <row r="243">
      <c r="A243" t="n">
        <v>242</v>
      </c>
      <c r="B243" s="4" t="inlineStr">
        <is>
          <t>High</t>
        </is>
      </c>
      <c r="C243" t="inlineStr">
        <is>
          <t>Launch Agriculture &amp; Food Processing Centre of Excellence</t>
        </is>
      </c>
      <c r="D243" t="inlineStr">
        <is>
          <t>Agriculture &amp; Food Processing</t>
        </is>
      </c>
      <c r="E243" t="inlineStr">
        <is>
          <t>Mandi Parishad</t>
        </is>
      </c>
      <c r="F243" t="inlineStr">
        <is>
          <t>Lucknow</t>
        </is>
      </c>
      <c r="G243" t="inlineStr">
        <is>
          <t>2025-2027</t>
        </is>
      </c>
      <c r="H243" t="inlineStr">
        <is>
          <t>Curriculum Reform</t>
        </is>
      </c>
      <c r="I243" t="inlineStr">
        <is>
          <t>Approved</t>
        </is>
      </c>
      <c r="J243" t="n">
        <v>16017</v>
      </c>
      <c r="K243" t="n">
        <v>11737</v>
      </c>
      <c r="L243" t="n">
        <v>4280</v>
      </c>
      <c r="M243" t="n">
        <v>26.7</v>
      </c>
      <c r="N243" t="n">
        <v>149.39</v>
      </c>
      <c r="O243" t="n">
        <v>31</v>
      </c>
      <c r="P243" t="n">
        <v>2028</v>
      </c>
      <c r="Q243" t="n">
        <v>17</v>
      </c>
      <c r="R243" t="n">
        <v>85</v>
      </c>
      <c r="S243" t="n">
        <v>81</v>
      </c>
    </row>
    <row r="244">
      <c r="A244" t="n">
        <v>243</v>
      </c>
      <c r="B244" s="2" t="inlineStr">
        <is>
          <t>Medium</t>
        </is>
      </c>
      <c r="C244" t="inlineStr">
        <is>
          <t>Fast-track recruitment for Manufacturing</t>
        </is>
      </c>
      <c r="D244" t="inlineStr">
        <is>
          <t>Manufacturing</t>
        </is>
      </c>
      <c r="E244" t="inlineStr">
        <is>
          <t>Invest UP</t>
        </is>
      </c>
      <c r="F244" t="inlineStr">
        <is>
          <t>Prayagraj</t>
        </is>
      </c>
      <c r="G244" t="inlineStr">
        <is>
          <t>2026-2028</t>
        </is>
      </c>
      <c r="H244" t="inlineStr">
        <is>
          <t>Apprenticeship</t>
        </is>
      </c>
      <c r="I244" t="inlineStr">
        <is>
          <t>Approved</t>
        </is>
      </c>
      <c r="J244" t="n">
        <v>15107</v>
      </c>
      <c r="K244" t="n">
        <v>2016</v>
      </c>
      <c r="L244" t="n">
        <v>13091</v>
      </c>
      <c r="M244" t="n">
        <v>86.7</v>
      </c>
      <c r="N244" t="n">
        <v>212.2</v>
      </c>
      <c r="O244" t="n">
        <v>22</v>
      </c>
      <c r="P244" t="n">
        <v>2027</v>
      </c>
      <c r="Q244" t="n">
        <v>4</v>
      </c>
      <c r="R244" t="n">
        <v>69</v>
      </c>
      <c r="S244" t="n">
        <v>67</v>
      </c>
    </row>
    <row r="245">
      <c r="A245" t="n">
        <v>244</v>
      </c>
      <c r="B245" s="2" t="inlineStr">
        <is>
          <t>Medium</t>
        </is>
      </c>
      <c r="C245" t="inlineStr">
        <is>
          <t>Education cadre restructuring</t>
        </is>
      </c>
      <c r="D245" t="inlineStr">
        <is>
          <t>Education</t>
        </is>
      </c>
      <c r="E245" t="inlineStr">
        <is>
          <t>Higher Education</t>
        </is>
      </c>
      <c r="F245" t="inlineStr">
        <is>
          <t>Noida</t>
        </is>
      </c>
      <c r="G245" t="inlineStr">
        <is>
          <t>2028-2030</t>
        </is>
      </c>
      <c r="H245" t="inlineStr">
        <is>
          <t>PPP Partnership</t>
        </is>
      </c>
      <c r="I245" t="inlineStr">
        <is>
          <t>Pending Funding</t>
        </is>
      </c>
      <c r="J245" t="n">
        <v>19824</v>
      </c>
      <c r="K245" t="n">
        <v>5365</v>
      </c>
      <c r="L245" t="n">
        <v>14459</v>
      </c>
      <c r="M245" t="n">
        <v>72.90000000000001</v>
      </c>
      <c r="N245" t="n">
        <v>31.15</v>
      </c>
      <c r="O245" t="n">
        <v>30</v>
      </c>
      <c r="P245" t="n">
        <v>2027</v>
      </c>
      <c r="Q245" t="n">
        <v>44</v>
      </c>
      <c r="R245" t="n">
        <v>88</v>
      </c>
      <c r="S245" t="n">
        <v>76</v>
      </c>
    </row>
    <row r="246">
      <c r="A246" t="n">
        <v>245</v>
      </c>
      <c r="B246" s="4" t="inlineStr">
        <is>
          <t>High</t>
        </is>
      </c>
      <c r="C246" t="inlineStr">
        <is>
          <t>Certification roll-out for EV &amp; Mobility</t>
        </is>
      </c>
      <c r="D246" t="inlineStr">
        <is>
          <t>EV &amp; Mobility</t>
        </is>
      </c>
      <c r="E246" t="inlineStr">
        <is>
          <t>Transport Dept</t>
        </is>
      </c>
      <c r="F246" t="inlineStr">
        <is>
          <t>Noida</t>
        </is>
      </c>
      <c r="G246" t="inlineStr">
        <is>
          <t>2026-2030</t>
        </is>
      </c>
      <c r="H246" t="inlineStr">
        <is>
          <t>Skilling</t>
        </is>
      </c>
      <c r="I246" t="inlineStr">
        <is>
          <t>Pending Funding</t>
        </is>
      </c>
      <c r="J246" t="n">
        <v>17435</v>
      </c>
      <c r="K246" t="n">
        <v>12210</v>
      </c>
      <c r="L246" t="n">
        <v>5225</v>
      </c>
      <c r="M246" t="n">
        <v>30</v>
      </c>
      <c r="N246" t="n">
        <v>325.86</v>
      </c>
      <c r="O246" t="n">
        <v>45</v>
      </c>
      <c r="P246" t="n">
        <v>2026</v>
      </c>
      <c r="Q246" t="n">
        <v>12</v>
      </c>
      <c r="R246" t="n">
        <v>64</v>
      </c>
      <c r="S246" t="n">
        <v>57</v>
      </c>
    </row>
    <row r="247">
      <c r="A247" t="n">
        <v>246</v>
      </c>
      <c r="B247" s="2" t="inlineStr">
        <is>
          <t>Medium</t>
        </is>
      </c>
      <c r="C247" t="inlineStr">
        <is>
          <t>Build Transport talent corridor</t>
        </is>
      </c>
      <c r="D247" t="inlineStr">
        <is>
          <t>Transport</t>
        </is>
      </c>
      <c r="E247" t="inlineStr">
        <is>
          <t>Transport Dept</t>
        </is>
      </c>
      <c r="F247" t="inlineStr">
        <is>
          <t>Varanasi</t>
        </is>
      </c>
      <c r="G247" t="inlineStr">
        <is>
          <t>2025-2026</t>
        </is>
      </c>
      <c r="H247" t="inlineStr">
        <is>
          <t>Apprenticeship</t>
        </is>
      </c>
      <c r="I247" t="inlineStr">
        <is>
          <t>Proposed</t>
        </is>
      </c>
      <c r="J247" t="n">
        <v>14766</v>
      </c>
      <c r="K247" t="n">
        <v>3712</v>
      </c>
      <c r="L247" t="n">
        <v>11054</v>
      </c>
      <c r="M247" t="n">
        <v>74.90000000000001</v>
      </c>
      <c r="N247" t="n">
        <v>395.19</v>
      </c>
      <c r="O247" t="n">
        <v>15</v>
      </c>
      <c r="P247" t="n">
        <v>2026</v>
      </c>
      <c r="Q247" t="n">
        <v>59</v>
      </c>
      <c r="R247" t="n">
        <v>93</v>
      </c>
      <c r="S247" t="n">
        <v>66</v>
      </c>
    </row>
    <row r="248">
      <c r="A248" t="n">
        <v>247</v>
      </c>
      <c r="B248" s="4" t="inlineStr">
        <is>
          <t>High</t>
        </is>
      </c>
      <c r="C248" t="inlineStr">
        <is>
          <t>Industry-academia link for Manufacturing</t>
        </is>
      </c>
      <c r="D248" t="inlineStr">
        <is>
          <t>Manufacturing</t>
        </is>
      </c>
      <c r="E248" t="inlineStr">
        <is>
          <t>Industries Dept</t>
        </is>
      </c>
      <c r="F248" t="inlineStr">
        <is>
          <t>Ayodhya</t>
        </is>
      </c>
      <c r="G248" t="inlineStr">
        <is>
          <t>2027-2030</t>
        </is>
      </c>
      <c r="H248" t="inlineStr">
        <is>
          <t>PPP Partnership</t>
        </is>
      </c>
      <c r="I248" t="inlineStr">
        <is>
          <t>Approved</t>
        </is>
      </c>
      <c r="J248" t="n">
        <v>15512</v>
      </c>
      <c r="K248" t="n">
        <v>12221</v>
      </c>
      <c r="L248" t="n">
        <v>3291</v>
      </c>
      <c r="M248" t="n">
        <v>21.2</v>
      </c>
      <c r="N248" t="n">
        <v>7.91</v>
      </c>
      <c r="O248" t="n">
        <v>45</v>
      </c>
      <c r="P248" t="n">
        <v>2026</v>
      </c>
      <c r="Q248" t="n">
        <v>8</v>
      </c>
      <c r="R248" t="n">
        <v>92</v>
      </c>
      <c r="S248" t="n">
        <v>83</v>
      </c>
    </row>
    <row r="249">
      <c r="A249" t="n">
        <v>248</v>
      </c>
      <c r="B249" s="3" t="inlineStr">
        <is>
          <t>Critical</t>
        </is>
      </c>
      <c r="C249" t="inlineStr">
        <is>
          <t>Establish Revenue skilling hub</t>
        </is>
      </c>
      <c r="D249" t="inlineStr">
        <is>
          <t>Revenue</t>
        </is>
      </c>
      <c r="E249" t="inlineStr">
        <is>
          <t>Revenue Dept</t>
        </is>
      </c>
      <c r="F249" t="inlineStr">
        <is>
          <t>Ghaziabad</t>
        </is>
      </c>
      <c r="G249" t="inlineStr">
        <is>
          <t>2025-2026</t>
        </is>
      </c>
      <c r="H249" t="inlineStr">
        <is>
          <t>Certification Program</t>
        </is>
      </c>
      <c r="I249" t="inlineStr">
        <is>
          <t>Proposed</t>
        </is>
      </c>
      <c r="J249" t="n">
        <v>18051</v>
      </c>
      <c r="K249" t="n">
        <v>13720</v>
      </c>
      <c r="L249" t="n">
        <v>4331</v>
      </c>
      <c r="M249" t="n">
        <v>24</v>
      </c>
      <c r="N249" t="n">
        <v>421.63</v>
      </c>
      <c r="O249" t="n">
        <v>22</v>
      </c>
      <c r="P249" t="n">
        <v>2026</v>
      </c>
      <c r="Q249" t="n">
        <v>37</v>
      </c>
      <c r="R249" t="n">
        <v>79</v>
      </c>
      <c r="S249" t="n">
        <v>91</v>
      </c>
    </row>
    <row r="250">
      <c r="A250" t="n">
        <v>249</v>
      </c>
      <c r="B250" s="3" t="inlineStr">
        <is>
          <t>Critical</t>
        </is>
      </c>
      <c r="C250" t="inlineStr">
        <is>
          <t>Certification roll-out for Textile &amp; Apparel</t>
        </is>
      </c>
      <c r="D250" t="inlineStr">
        <is>
          <t>Textile &amp; Apparel</t>
        </is>
      </c>
      <c r="E250" t="inlineStr">
        <is>
          <t>Handloom &amp; Textiles Dept</t>
        </is>
      </c>
      <c r="F250" t="inlineStr">
        <is>
          <t>Bareilly</t>
        </is>
      </c>
      <c r="G250" t="inlineStr">
        <is>
          <t>2026-2030</t>
        </is>
      </c>
      <c r="H250" t="inlineStr">
        <is>
          <t>Curriculum Reform</t>
        </is>
      </c>
      <c r="I250" t="inlineStr">
        <is>
          <t>Pending Funding</t>
        </is>
      </c>
      <c r="J250" t="n">
        <v>22808</v>
      </c>
      <c r="K250" t="n">
        <v>14146</v>
      </c>
      <c r="L250" t="n">
        <v>8662</v>
      </c>
      <c r="M250" t="n">
        <v>38</v>
      </c>
      <c r="N250" t="n">
        <v>20.54</v>
      </c>
      <c r="O250" t="n">
        <v>27</v>
      </c>
      <c r="P250" t="n">
        <v>2028</v>
      </c>
      <c r="Q250" t="n">
        <v>31</v>
      </c>
      <c r="R250" t="n">
        <v>70</v>
      </c>
      <c r="S250" t="n">
        <v>53</v>
      </c>
    </row>
    <row r="251">
      <c r="A251" t="n">
        <v>250</v>
      </c>
      <c r="B251" s="3" t="inlineStr">
        <is>
          <t>Critical</t>
        </is>
      </c>
      <c r="C251" t="inlineStr">
        <is>
          <t>Reskilling drive for Urban Development</t>
        </is>
      </c>
      <c r="D251" t="inlineStr">
        <is>
          <t>Urban Development</t>
        </is>
      </c>
      <c r="E251" t="inlineStr">
        <is>
          <t>Housing Board</t>
        </is>
      </c>
      <c r="F251" t="inlineStr">
        <is>
          <t>Gorakhpur</t>
        </is>
      </c>
      <c r="G251" t="inlineStr">
        <is>
          <t>2026-2028</t>
        </is>
      </c>
      <c r="H251" t="inlineStr">
        <is>
          <t>ITI Conversion</t>
        </is>
      </c>
      <c r="I251" t="inlineStr">
        <is>
          <t>In Execution</t>
        </is>
      </c>
      <c r="J251" t="n">
        <v>22941</v>
      </c>
      <c r="K251" t="n">
        <v>3984</v>
      </c>
      <c r="L251" t="n">
        <v>18957</v>
      </c>
      <c r="M251" t="n">
        <v>82.59999999999999</v>
      </c>
      <c r="N251" t="n">
        <v>417.33</v>
      </c>
      <c r="O251" t="n">
        <v>14</v>
      </c>
      <c r="P251" t="n">
        <v>2026</v>
      </c>
      <c r="Q251" t="n">
        <v>50</v>
      </c>
      <c r="R251" t="n">
        <v>74</v>
      </c>
      <c r="S251" t="n">
        <v>97</v>
      </c>
    </row>
  </sheetData>
  <autoFilter ref="A1:S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>
      <c r="A1" s="6" t="inlineStr">
        <is>
          <t>Priority</t>
        </is>
      </c>
      <c r="B1" s="6" t="inlineStr">
        <is>
          <t>Count</t>
        </is>
      </c>
      <c r="C1" s="6" t="inlineStr">
        <is>
          <t>Required</t>
        </is>
      </c>
      <c r="D1" s="6" t="inlineStr">
        <is>
          <t>Available</t>
        </is>
      </c>
      <c r="E1" s="6" t="inlineStr">
        <is>
          <t>Gap</t>
        </is>
      </c>
      <c r="F1" s="6" t="inlineStr">
        <is>
          <t>Avg Confidence %</t>
        </is>
      </c>
      <c r="G1" s="6" t="inlineStr">
        <is>
          <t>Budget (Cr)</t>
        </is>
      </c>
    </row>
    <row r="2">
      <c r="A2" t="inlineStr">
        <is>
          <t>Critical</t>
        </is>
      </c>
      <c r="B2">
        <f>COUNTIF('AI Recommendations'!B:B,"Critical")</f>
        <v/>
      </c>
      <c r="C2">
        <f>SUMIF('AI Recommendations'!B:B,"Critical",'AI Recommendations'!J:J)</f>
        <v/>
      </c>
      <c r="D2">
        <f>SUMIF('AI Recommendations'!B:B,"Critical",'AI Recommendations'!K:K)</f>
        <v/>
      </c>
      <c r="E2">
        <f>SUMIF('AI Recommendations'!B:B,"Critical",'AI Recommendations'!L:L)</f>
        <v/>
      </c>
      <c r="F2">
        <f>ROUND(AVERAGEIF('AI Recommendations'!B:B,"Critical",'AI Recommendations'!R:R),1)</f>
        <v/>
      </c>
      <c r="G2">
        <f>ROUND(SUMIF('AI Recommendations'!B:B,"Critical",'AI Recommendations'!N:N),2)</f>
        <v/>
      </c>
    </row>
    <row r="3">
      <c r="A3" t="inlineStr">
        <is>
          <t>High</t>
        </is>
      </c>
      <c r="B3">
        <f>COUNTIF('AI Recommendations'!B:B,"High")</f>
        <v/>
      </c>
      <c r="C3">
        <f>SUMIF('AI Recommendations'!B:B,"High",'AI Recommendations'!J:J)</f>
        <v/>
      </c>
      <c r="D3">
        <f>SUMIF('AI Recommendations'!B:B,"High",'AI Recommendations'!K:K)</f>
        <v/>
      </c>
      <c r="E3">
        <f>SUMIF('AI Recommendations'!B:B,"High",'AI Recommendations'!L:L)</f>
        <v/>
      </c>
      <c r="F3">
        <f>ROUND(AVERAGEIF('AI Recommendations'!B:B,"High",'AI Recommendations'!R:R),1)</f>
        <v/>
      </c>
      <c r="G3">
        <f>ROUND(SUMIF('AI Recommendations'!B:B,"High",'AI Recommendations'!N:N),2)</f>
        <v/>
      </c>
    </row>
    <row r="4">
      <c r="A4" t="inlineStr">
        <is>
          <t>Medium</t>
        </is>
      </c>
      <c r="B4">
        <f>COUNTIF('AI Recommendations'!B:B,"Medium")</f>
        <v/>
      </c>
      <c r="C4">
        <f>SUMIF('AI Recommendations'!B:B,"Medium",'AI Recommendations'!J:J)</f>
        <v/>
      </c>
      <c r="D4">
        <f>SUMIF('AI Recommendations'!B:B,"Medium",'AI Recommendations'!K:K)</f>
        <v/>
      </c>
      <c r="E4">
        <f>SUMIF('AI Recommendations'!B:B,"Medium",'AI Recommendations'!L:L)</f>
        <v/>
      </c>
      <c r="F4">
        <f>ROUND(AVERAGEIF('AI Recommendations'!B:B,"Medium",'AI Recommendations'!R:R),1)</f>
        <v/>
      </c>
      <c r="G4">
        <f>ROUND(SUMIF('AI Recommendations'!B:B,"Medium",'AI Recommendations'!N:N),2)</f>
        <v/>
      </c>
    </row>
    <row r="5">
      <c r="A5" t="inlineStr">
        <is>
          <t>Low</t>
        </is>
      </c>
      <c r="B5">
        <f>COUNTIF('AI Recommendations'!B:B,"Low")</f>
        <v/>
      </c>
      <c r="C5">
        <f>SUMIF('AI Recommendations'!B:B,"Low",'AI Recommendations'!J:J)</f>
        <v/>
      </c>
      <c r="D5">
        <f>SUMIF('AI Recommendations'!B:B,"Low",'AI Recommendations'!K:K)</f>
        <v/>
      </c>
      <c r="E5">
        <f>SUMIF('AI Recommendations'!B:B,"Low",'AI Recommendations'!L:L)</f>
        <v/>
      </c>
      <c r="F5">
        <f>ROUND(AVERAGEIF('AI Recommendations'!B:B,"Low",'AI Recommendations'!R:R),1)</f>
        <v/>
      </c>
      <c r="G5">
        <f>ROUND(SUMIF('AI Recommendations'!B:B,"Low",'AI Recommendations'!N:N),2)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Sector</t>
        </is>
      </c>
      <c r="B1" s="6" t="inlineStr">
        <is>
          <t>Count</t>
        </is>
      </c>
      <c r="C1" s="6" t="inlineStr">
        <is>
          <t>Required</t>
        </is>
      </c>
      <c r="D1" s="6" t="inlineStr">
        <is>
          <t>Available</t>
        </is>
      </c>
      <c r="E1" s="6" t="inlineStr">
        <is>
          <t>Gap</t>
        </is>
      </c>
      <c r="F1" s="6" t="inlineStr">
        <is>
          <t>Budget (Cr)</t>
        </is>
      </c>
    </row>
    <row r="2">
      <c r="A2" t="inlineStr">
        <is>
          <t>IT &amp; Electronics</t>
        </is>
      </c>
      <c r="B2">
        <f>COUNTIF('AI Recommendations'!D:D,"IT &amp; Electronics")</f>
        <v/>
      </c>
      <c r="C2">
        <f>SUMIF('AI Recommendations'!D:D,"IT &amp; Electronics",'AI Recommendations'!J:J)</f>
        <v/>
      </c>
      <c r="D2">
        <f>SUMIF('AI Recommendations'!D:D,"IT &amp; Electronics",'AI Recommendations'!K:K)</f>
        <v/>
      </c>
      <c r="E2">
        <f>SUMIF('AI Recommendations'!D:D,"IT &amp; Electronics",'AI Recommendations'!L:L)</f>
        <v/>
      </c>
      <c r="F2">
        <f>ROUND(SUMIF('AI Recommendations'!D:D,"IT &amp; Electronics",'AI Recommendations'!N:N),2)</f>
        <v/>
      </c>
    </row>
    <row r="3">
      <c r="A3" t="inlineStr">
        <is>
          <t>Civil Aviation</t>
        </is>
      </c>
      <c r="B3">
        <f>COUNTIF('AI Recommendations'!D:D,"Civil Aviation")</f>
        <v/>
      </c>
      <c r="C3">
        <f>SUMIF('AI Recommendations'!D:D,"Civil Aviation",'AI Recommendations'!J:J)</f>
        <v/>
      </c>
      <c r="D3">
        <f>SUMIF('AI Recommendations'!D:D,"Civil Aviation",'AI Recommendations'!K:K)</f>
        <v/>
      </c>
      <c r="E3">
        <f>SUMIF('AI Recommendations'!D:D,"Civil Aviation",'AI Recommendations'!L:L)</f>
        <v/>
      </c>
      <c r="F3">
        <f>ROUND(SUMIF('AI Recommendations'!D:D,"Civil Aviation",'AI Recommendations'!N:N),2)</f>
        <v/>
      </c>
    </row>
    <row r="4">
      <c r="A4" t="inlineStr">
        <is>
          <t>Manufacturing</t>
        </is>
      </c>
      <c r="B4">
        <f>COUNTIF('AI Recommendations'!D:D,"Manufacturing")</f>
        <v/>
      </c>
      <c r="C4">
        <f>SUMIF('AI Recommendations'!D:D,"Manufacturing",'AI Recommendations'!J:J)</f>
        <v/>
      </c>
      <c r="D4">
        <f>SUMIF('AI Recommendations'!D:D,"Manufacturing",'AI Recommendations'!K:K)</f>
        <v/>
      </c>
      <c r="E4">
        <f>SUMIF('AI Recommendations'!D:D,"Manufacturing",'AI Recommendations'!L:L)</f>
        <v/>
      </c>
      <c r="F4">
        <f>ROUND(SUMIF('AI Recommendations'!D:D,"Manufacturing",'AI Recommendations'!N:N),2)</f>
        <v/>
      </c>
    </row>
    <row r="5">
      <c r="A5" t="inlineStr">
        <is>
          <t>Health</t>
        </is>
      </c>
      <c r="B5">
        <f>COUNTIF('AI Recommendations'!D:D,"Health")</f>
        <v/>
      </c>
      <c r="C5">
        <f>SUMIF('AI Recommendations'!D:D,"Health",'AI Recommendations'!J:J)</f>
        <v/>
      </c>
      <c r="D5">
        <f>SUMIF('AI Recommendations'!D:D,"Health",'AI Recommendations'!K:K)</f>
        <v/>
      </c>
      <c r="E5">
        <f>SUMIF('AI Recommendations'!D:D,"Health",'AI Recommendations'!L:L)</f>
        <v/>
      </c>
      <c r="F5">
        <f>ROUND(SUMIF('AI Recommendations'!D:D,"Health",'AI Recommendations'!N:N),2)</f>
        <v/>
      </c>
    </row>
    <row r="6">
      <c r="A6" t="inlineStr">
        <is>
          <t>Education</t>
        </is>
      </c>
      <c r="B6">
        <f>COUNTIF('AI Recommendations'!D:D,"Education")</f>
        <v/>
      </c>
      <c r="C6">
        <f>SUMIF('AI Recommendations'!D:D,"Education",'AI Recommendations'!J:J)</f>
        <v/>
      </c>
      <c r="D6">
        <f>SUMIF('AI Recommendations'!D:D,"Education",'AI Recommendations'!K:K)</f>
        <v/>
      </c>
      <c r="E6">
        <f>SUMIF('AI Recommendations'!D:D,"Education",'AI Recommendations'!L:L)</f>
        <v/>
      </c>
      <c r="F6">
        <f>ROUND(SUMIF('AI Recommendations'!D:D,"Education",'AI Recommendations'!N:N),2)</f>
        <v/>
      </c>
    </row>
    <row r="7">
      <c r="A7" t="inlineStr">
        <is>
          <t>Transport</t>
        </is>
      </c>
      <c r="B7">
        <f>COUNTIF('AI Recommendations'!D:D,"Transport")</f>
        <v/>
      </c>
      <c r="C7">
        <f>SUMIF('AI Recommendations'!D:D,"Transport",'AI Recommendations'!J:J)</f>
        <v/>
      </c>
      <c r="D7">
        <f>SUMIF('AI Recommendations'!D:D,"Transport",'AI Recommendations'!K:K)</f>
        <v/>
      </c>
      <c r="E7">
        <f>SUMIF('AI Recommendations'!D:D,"Transport",'AI Recommendations'!L:L)</f>
        <v/>
      </c>
      <c r="F7">
        <f>ROUND(SUMIF('AI Recommendations'!D:D,"Transport",'AI Recommendations'!N:N),2)</f>
        <v/>
      </c>
    </row>
    <row r="8">
      <c r="A8" t="inlineStr">
        <is>
          <t>Power &amp; Energy</t>
        </is>
      </c>
      <c r="B8">
        <f>COUNTIF('AI Recommendations'!D:D,"Power &amp; Energy")</f>
        <v/>
      </c>
      <c r="C8">
        <f>SUMIF('AI Recommendations'!D:D,"Power &amp; Energy",'AI Recommendations'!J:J)</f>
        <v/>
      </c>
      <c r="D8">
        <f>SUMIF('AI Recommendations'!D:D,"Power &amp; Energy",'AI Recommendations'!K:K)</f>
        <v/>
      </c>
      <c r="E8">
        <f>SUMIF('AI Recommendations'!D:D,"Power &amp; Energy",'AI Recommendations'!L:L)</f>
        <v/>
      </c>
      <c r="F8">
        <f>ROUND(SUMIF('AI Recommendations'!D:D,"Power &amp; Energy",'AI Recommendations'!N:N),2)</f>
        <v/>
      </c>
    </row>
    <row r="9">
      <c r="A9" t="inlineStr">
        <is>
          <t>Defence</t>
        </is>
      </c>
      <c r="B9">
        <f>COUNTIF('AI Recommendations'!D:D,"Defence")</f>
        <v/>
      </c>
      <c r="C9">
        <f>SUMIF('AI Recommendations'!D:D,"Defence",'AI Recommendations'!J:J)</f>
        <v/>
      </c>
      <c r="D9">
        <f>SUMIF('AI Recommendations'!D:D,"Defence",'AI Recommendations'!K:K)</f>
        <v/>
      </c>
      <c r="E9">
        <f>SUMIF('AI Recommendations'!D:D,"Defence",'AI Recommendations'!L:L)</f>
        <v/>
      </c>
      <c r="F9">
        <f>ROUND(SUMIF('AI Recommendations'!D:D,"Defence",'AI Recommendations'!N:N),2)</f>
        <v/>
      </c>
    </row>
    <row r="10">
      <c r="A10" t="inlineStr">
        <is>
          <t>Urban Development</t>
        </is>
      </c>
      <c r="B10">
        <f>COUNTIF('AI Recommendations'!D:D,"Urban Development")</f>
        <v/>
      </c>
      <c r="C10">
        <f>SUMIF('AI Recommendations'!D:D,"Urban Development",'AI Recommendations'!J:J)</f>
        <v/>
      </c>
      <c r="D10">
        <f>SUMIF('AI Recommendations'!D:D,"Urban Development",'AI Recommendations'!K:K)</f>
        <v/>
      </c>
      <c r="E10">
        <f>SUMIF('AI Recommendations'!D:D,"Urban Development",'AI Recommendations'!L:L)</f>
        <v/>
      </c>
      <c r="F10">
        <f>ROUND(SUMIF('AI Recommendations'!D:D,"Urban Development",'AI Recommendations'!N:N),2)</f>
        <v/>
      </c>
    </row>
    <row r="11">
      <c r="A11" t="inlineStr">
        <is>
          <t>Agriculture &amp; Food Processing</t>
        </is>
      </c>
      <c r="B11">
        <f>COUNTIF('AI Recommendations'!D:D,"Agriculture &amp; Food Processing")</f>
        <v/>
      </c>
      <c r="C11">
        <f>SUMIF('AI Recommendations'!D:D,"Agriculture &amp; Food Processing",'AI Recommendations'!J:J)</f>
        <v/>
      </c>
      <c r="D11">
        <f>SUMIF('AI Recommendations'!D:D,"Agriculture &amp; Food Processing",'AI Recommendations'!K:K)</f>
        <v/>
      </c>
      <c r="E11">
        <f>SUMIF('AI Recommendations'!D:D,"Agriculture &amp; Food Processing",'AI Recommendations'!L:L)</f>
        <v/>
      </c>
      <c r="F11">
        <f>ROUND(SUMIF('AI Recommendations'!D:D,"Agriculture &amp; Food Processing",'AI Recommendations'!N:N),2)</f>
        <v/>
      </c>
    </row>
    <row r="12">
      <c r="A12" t="inlineStr">
        <is>
          <t>Tourism &amp; Hospitality</t>
        </is>
      </c>
      <c r="B12">
        <f>COUNTIF('AI Recommendations'!D:D,"Tourism &amp; Hospitality")</f>
        <v/>
      </c>
      <c r="C12">
        <f>SUMIF('AI Recommendations'!D:D,"Tourism &amp; Hospitality",'AI Recommendations'!J:J)</f>
        <v/>
      </c>
      <c r="D12">
        <f>SUMIF('AI Recommendations'!D:D,"Tourism &amp; Hospitality",'AI Recommendations'!K:K)</f>
        <v/>
      </c>
      <c r="E12">
        <f>SUMIF('AI Recommendations'!D:D,"Tourism &amp; Hospitality",'AI Recommendations'!L:L)</f>
        <v/>
      </c>
      <c r="F12">
        <f>ROUND(SUMIF('AI Recommendations'!D:D,"Tourism &amp; Hospitality",'AI Recommendations'!N:N),2)</f>
        <v/>
      </c>
    </row>
    <row r="13">
      <c r="A13" t="inlineStr">
        <is>
          <t>Public Works</t>
        </is>
      </c>
      <c r="B13">
        <f>COUNTIF('AI Recommendations'!D:D,"Public Works")</f>
        <v/>
      </c>
      <c r="C13">
        <f>SUMIF('AI Recommendations'!D:D,"Public Works",'AI Recommendations'!J:J)</f>
        <v/>
      </c>
      <c r="D13">
        <f>SUMIF('AI Recommendations'!D:D,"Public Works",'AI Recommendations'!K:K)</f>
        <v/>
      </c>
      <c r="E13">
        <f>SUMIF('AI Recommendations'!D:D,"Public Works",'AI Recommendations'!L:L)</f>
        <v/>
      </c>
      <c r="F13">
        <f>ROUND(SUMIF('AI Recommendations'!D:D,"Public Works",'AI Recommendations'!N:N),2)</f>
        <v/>
      </c>
    </row>
    <row r="14">
      <c r="A14" t="inlineStr">
        <is>
          <t>Police &amp; Home</t>
        </is>
      </c>
      <c r="B14">
        <f>COUNTIF('AI Recommendations'!D:D,"Police &amp; Home")</f>
        <v/>
      </c>
      <c r="C14">
        <f>SUMIF('AI Recommendations'!D:D,"Police &amp; Home",'AI Recommendations'!J:J)</f>
        <v/>
      </c>
      <c r="D14">
        <f>SUMIF('AI Recommendations'!D:D,"Police &amp; Home",'AI Recommendations'!K:K)</f>
        <v/>
      </c>
      <c r="E14">
        <f>SUMIF('AI Recommendations'!D:D,"Police &amp; Home",'AI Recommendations'!L:L)</f>
        <v/>
      </c>
      <c r="F14">
        <f>ROUND(SUMIF('AI Recommendations'!D:D,"Police &amp; Home",'AI Recommendations'!N:N),2)</f>
        <v/>
      </c>
    </row>
    <row r="15">
      <c r="A15" t="inlineStr">
        <is>
          <t>Revenue</t>
        </is>
      </c>
      <c r="B15">
        <f>COUNTIF('AI Recommendations'!D:D,"Revenue")</f>
        <v/>
      </c>
      <c r="C15">
        <f>SUMIF('AI Recommendations'!D:D,"Revenue",'AI Recommendations'!J:J)</f>
        <v/>
      </c>
      <c r="D15">
        <f>SUMIF('AI Recommendations'!D:D,"Revenue",'AI Recommendations'!K:K)</f>
        <v/>
      </c>
      <c r="E15">
        <f>SUMIF('AI Recommendations'!D:D,"Revenue",'AI Recommendations'!L:L)</f>
        <v/>
      </c>
      <c r="F15">
        <f>ROUND(SUMIF('AI Recommendations'!D:D,"Revenue",'AI Recommendations'!N:N),2)</f>
        <v/>
      </c>
    </row>
    <row r="16">
      <c r="A16" t="inlineStr">
        <is>
          <t>Skill Development</t>
        </is>
      </c>
      <c r="B16">
        <f>COUNTIF('AI Recommendations'!D:D,"Skill Development")</f>
        <v/>
      </c>
      <c r="C16">
        <f>SUMIF('AI Recommendations'!D:D,"Skill Development",'AI Recommendations'!J:J)</f>
        <v/>
      </c>
      <c r="D16">
        <f>SUMIF('AI Recommendations'!D:D,"Skill Development",'AI Recommendations'!K:K)</f>
        <v/>
      </c>
      <c r="E16">
        <f>SUMIF('AI Recommendations'!D:D,"Skill Development",'AI Recommendations'!L:L)</f>
        <v/>
      </c>
      <c r="F16">
        <f>ROUND(SUMIF('AI Recommendations'!D:D,"Skill Development",'AI Recommendations'!N:N),2)</f>
        <v/>
      </c>
    </row>
    <row r="17">
      <c r="A17" t="inlineStr">
        <is>
          <t>EV &amp; Mobility</t>
        </is>
      </c>
      <c r="B17">
        <f>COUNTIF('AI Recommendations'!D:D,"EV &amp; Mobility")</f>
        <v/>
      </c>
      <c r="C17">
        <f>SUMIF('AI Recommendations'!D:D,"EV &amp; Mobility",'AI Recommendations'!J:J)</f>
        <v/>
      </c>
      <c r="D17">
        <f>SUMIF('AI Recommendations'!D:D,"EV &amp; Mobility",'AI Recommendations'!K:K)</f>
        <v/>
      </c>
      <c r="E17">
        <f>SUMIF('AI Recommendations'!D:D,"EV &amp; Mobility",'AI Recommendations'!L:L)</f>
        <v/>
      </c>
      <c r="F17">
        <f>ROUND(SUMIF('AI Recommendations'!D:D,"EV &amp; Mobility",'AI Recommendations'!N:N),2)</f>
        <v/>
      </c>
    </row>
    <row r="18">
      <c r="A18" t="inlineStr">
        <is>
          <t>AI &amp; Data Centres</t>
        </is>
      </c>
      <c r="B18">
        <f>COUNTIF('AI Recommendations'!D:D,"AI &amp; Data Centres")</f>
        <v/>
      </c>
      <c r="C18">
        <f>SUMIF('AI Recommendations'!D:D,"AI &amp; Data Centres",'AI Recommendations'!J:J)</f>
        <v/>
      </c>
      <c r="D18">
        <f>SUMIF('AI Recommendations'!D:D,"AI &amp; Data Centres",'AI Recommendations'!K:K)</f>
        <v/>
      </c>
      <c r="E18">
        <f>SUMIF('AI Recommendations'!D:D,"AI &amp; Data Centres",'AI Recommendations'!L:L)</f>
        <v/>
      </c>
      <c r="F18">
        <f>ROUND(SUMIF('AI Recommendations'!D:D,"AI &amp; Data Centres",'AI Recommendations'!N:N),2)</f>
        <v/>
      </c>
    </row>
    <row r="19">
      <c r="A19" t="inlineStr">
        <is>
          <t>Pharma &amp; Biotech</t>
        </is>
      </c>
      <c r="B19">
        <f>COUNTIF('AI Recommendations'!D:D,"Pharma &amp; Biotech")</f>
        <v/>
      </c>
      <c r="C19">
        <f>SUMIF('AI Recommendations'!D:D,"Pharma &amp; Biotech",'AI Recommendations'!J:J)</f>
        <v/>
      </c>
      <c r="D19">
        <f>SUMIF('AI Recommendations'!D:D,"Pharma &amp; Biotech",'AI Recommendations'!K:K)</f>
        <v/>
      </c>
      <c r="E19">
        <f>SUMIF('AI Recommendations'!D:D,"Pharma &amp; Biotech",'AI Recommendations'!L:L)</f>
        <v/>
      </c>
      <c r="F19">
        <f>ROUND(SUMIF('AI Recommendations'!D:D,"Pharma &amp; Biotech",'AI Recommendations'!N:N),2)</f>
        <v/>
      </c>
    </row>
    <row r="20">
      <c r="A20" t="inlineStr">
        <is>
          <t>Logistics &amp; Warehousing</t>
        </is>
      </c>
      <c r="B20">
        <f>COUNTIF('AI Recommendations'!D:D,"Logistics &amp; Warehousing")</f>
        <v/>
      </c>
      <c r="C20">
        <f>SUMIF('AI Recommendations'!D:D,"Logistics &amp; Warehousing",'AI Recommendations'!J:J)</f>
        <v/>
      </c>
      <c r="D20">
        <f>SUMIF('AI Recommendations'!D:D,"Logistics &amp; Warehousing",'AI Recommendations'!K:K)</f>
        <v/>
      </c>
      <c r="E20">
        <f>SUMIF('AI Recommendations'!D:D,"Logistics &amp; Warehousing",'AI Recommendations'!L:L)</f>
        <v/>
      </c>
      <c r="F20">
        <f>ROUND(SUMIF('AI Recommendations'!D:D,"Logistics &amp; Warehousing",'AI Recommendations'!N:N),2)</f>
        <v/>
      </c>
    </row>
    <row r="21">
      <c r="A21" t="inlineStr">
        <is>
          <t>Textile &amp; Apparel</t>
        </is>
      </c>
      <c r="B21">
        <f>COUNTIF('AI Recommendations'!D:D,"Textile &amp; Apparel")</f>
        <v/>
      </c>
      <c r="C21">
        <f>SUMIF('AI Recommendations'!D:D,"Textile &amp; Apparel",'AI Recommendations'!J:J)</f>
        <v/>
      </c>
      <c r="D21">
        <f>SUMIF('AI Recommendations'!D:D,"Textile &amp; Apparel",'AI Recommendations'!K:K)</f>
        <v/>
      </c>
      <c r="E21">
        <f>SUMIF('AI Recommendations'!D:D,"Textile &amp; Apparel",'AI Recommendations'!L:L)</f>
        <v/>
      </c>
      <c r="F21">
        <f>ROUND(SUMIF('AI Recommendations'!D:D,"Textile &amp; Apparel",'AI Recommendations'!N:N),2)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>
      <c r="A1" s="7" t="inlineStr">
        <is>
          <t>Region</t>
        </is>
      </c>
      <c r="B1" s="7" t="inlineStr">
        <is>
          <t>Count</t>
        </is>
      </c>
      <c r="C1" s="7" t="inlineStr">
        <is>
          <t>Required</t>
        </is>
      </c>
      <c r="D1" s="7" t="inlineStr">
        <is>
          <t>Gap</t>
        </is>
      </c>
      <c r="E1" s="7" t="inlineStr">
        <is>
          <t>Budget (Cr)</t>
        </is>
      </c>
    </row>
    <row r="2">
      <c r="A2" t="inlineStr">
        <is>
          <t>Lucknow</t>
        </is>
      </c>
      <c r="B2">
        <f>COUNTIF('AI Recommendations'!F:F,"Lucknow")</f>
        <v/>
      </c>
      <c r="C2">
        <f>SUMIF('AI Recommendations'!F:F,"Lucknow",'AI Recommendations'!J:J)</f>
        <v/>
      </c>
      <c r="D2">
        <f>SUMIF('AI Recommendations'!F:F,"Lucknow",'AI Recommendations'!L:L)</f>
        <v/>
      </c>
      <c r="E2">
        <f>ROUND(SUMIF('AI Recommendations'!F:F,"Lucknow",'AI Recommendations'!N:N),2)</f>
        <v/>
      </c>
    </row>
    <row r="3">
      <c r="A3" t="inlineStr">
        <is>
          <t>Kanpur</t>
        </is>
      </c>
      <c r="B3">
        <f>COUNTIF('AI Recommendations'!F:F,"Kanpur")</f>
        <v/>
      </c>
      <c r="C3">
        <f>SUMIF('AI Recommendations'!F:F,"Kanpur",'AI Recommendations'!J:J)</f>
        <v/>
      </c>
      <c r="D3">
        <f>SUMIF('AI Recommendations'!F:F,"Kanpur",'AI Recommendations'!L:L)</f>
        <v/>
      </c>
      <c r="E3">
        <f>ROUND(SUMIF('AI Recommendations'!F:F,"Kanpur",'AI Recommendations'!N:N),2)</f>
        <v/>
      </c>
    </row>
    <row r="4">
      <c r="A4" t="inlineStr">
        <is>
          <t>Noida</t>
        </is>
      </c>
      <c r="B4">
        <f>COUNTIF('AI Recommendations'!F:F,"Noida")</f>
        <v/>
      </c>
      <c r="C4">
        <f>SUMIF('AI Recommendations'!F:F,"Noida",'AI Recommendations'!J:J)</f>
        <v/>
      </c>
      <c r="D4">
        <f>SUMIF('AI Recommendations'!F:F,"Noida",'AI Recommendations'!L:L)</f>
        <v/>
      </c>
      <c r="E4">
        <f>ROUND(SUMIF('AI Recommendations'!F:F,"Noida",'AI Recommendations'!N:N),2)</f>
        <v/>
      </c>
    </row>
    <row r="5">
      <c r="A5" t="inlineStr">
        <is>
          <t>Ghaziabad</t>
        </is>
      </c>
      <c r="B5">
        <f>COUNTIF('AI Recommendations'!F:F,"Ghaziabad")</f>
        <v/>
      </c>
      <c r="C5">
        <f>SUMIF('AI Recommendations'!F:F,"Ghaziabad",'AI Recommendations'!J:J)</f>
        <v/>
      </c>
      <c r="D5">
        <f>SUMIF('AI Recommendations'!F:F,"Ghaziabad",'AI Recommendations'!L:L)</f>
        <v/>
      </c>
      <c r="E5">
        <f>ROUND(SUMIF('AI Recommendations'!F:F,"Ghaziabad",'AI Recommendations'!N:N),2)</f>
        <v/>
      </c>
    </row>
    <row r="6">
      <c r="A6" t="inlineStr">
        <is>
          <t>Varanasi</t>
        </is>
      </c>
      <c r="B6">
        <f>COUNTIF('AI Recommendations'!F:F,"Varanasi")</f>
        <v/>
      </c>
      <c r="C6">
        <f>SUMIF('AI Recommendations'!F:F,"Varanasi",'AI Recommendations'!J:J)</f>
        <v/>
      </c>
      <c r="D6">
        <f>SUMIF('AI Recommendations'!F:F,"Varanasi",'AI Recommendations'!L:L)</f>
        <v/>
      </c>
      <c r="E6">
        <f>ROUND(SUMIF('AI Recommendations'!F:F,"Varanasi",'AI Recommendations'!N:N),2)</f>
        <v/>
      </c>
    </row>
    <row r="7">
      <c r="A7" t="inlineStr">
        <is>
          <t>Prayagraj</t>
        </is>
      </c>
      <c r="B7">
        <f>COUNTIF('AI Recommendations'!F:F,"Prayagraj")</f>
        <v/>
      </c>
      <c r="C7">
        <f>SUMIF('AI Recommendations'!F:F,"Prayagraj",'AI Recommendations'!J:J)</f>
        <v/>
      </c>
      <c r="D7">
        <f>SUMIF('AI Recommendations'!F:F,"Prayagraj",'AI Recommendations'!L:L)</f>
        <v/>
      </c>
      <c r="E7">
        <f>ROUND(SUMIF('AI Recommendations'!F:F,"Prayagraj",'AI Recommendations'!N:N),2)</f>
        <v/>
      </c>
    </row>
    <row r="8">
      <c r="A8" t="inlineStr">
        <is>
          <t>Agra</t>
        </is>
      </c>
      <c r="B8">
        <f>COUNTIF('AI Recommendations'!F:F,"Agra")</f>
        <v/>
      </c>
      <c r="C8">
        <f>SUMIF('AI Recommendations'!F:F,"Agra",'AI Recommendations'!J:J)</f>
        <v/>
      </c>
      <c r="D8">
        <f>SUMIF('AI Recommendations'!F:F,"Agra",'AI Recommendations'!L:L)</f>
        <v/>
      </c>
      <c r="E8">
        <f>ROUND(SUMIF('AI Recommendations'!F:F,"Agra",'AI Recommendations'!N:N),2)</f>
        <v/>
      </c>
    </row>
    <row r="9">
      <c r="A9" t="inlineStr">
        <is>
          <t>Meerut</t>
        </is>
      </c>
      <c r="B9">
        <f>COUNTIF('AI Recommendations'!F:F,"Meerut")</f>
        <v/>
      </c>
      <c r="C9">
        <f>SUMIF('AI Recommendations'!F:F,"Meerut",'AI Recommendations'!J:J)</f>
        <v/>
      </c>
      <c r="D9">
        <f>SUMIF('AI Recommendations'!F:F,"Meerut",'AI Recommendations'!L:L)</f>
        <v/>
      </c>
      <c r="E9">
        <f>ROUND(SUMIF('AI Recommendations'!F:F,"Meerut",'AI Recommendations'!N:N),2)</f>
        <v/>
      </c>
    </row>
    <row r="10">
      <c r="A10" t="inlineStr">
        <is>
          <t>Bareilly</t>
        </is>
      </c>
      <c r="B10">
        <f>COUNTIF('AI Recommendations'!F:F,"Bareilly")</f>
        <v/>
      </c>
      <c r="C10">
        <f>SUMIF('AI Recommendations'!F:F,"Bareilly",'AI Recommendations'!J:J)</f>
        <v/>
      </c>
      <c r="D10">
        <f>SUMIF('AI Recommendations'!F:F,"Bareilly",'AI Recommendations'!L:L)</f>
        <v/>
      </c>
      <c r="E10">
        <f>ROUND(SUMIF('AI Recommendations'!F:F,"Bareilly",'AI Recommendations'!N:N),2)</f>
        <v/>
      </c>
    </row>
    <row r="11">
      <c r="A11" t="inlineStr">
        <is>
          <t>Gorakhpur</t>
        </is>
      </c>
      <c r="B11">
        <f>COUNTIF('AI Recommendations'!F:F,"Gorakhpur")</f>
        <v/>
      </c>
      <c r="C11">
        <f>SUMIF('AI Recommendations'!F:F,"Gorakhpur",'AI Recommendations'!J:J)</f>
        <v/>
      </c>
      <c r="D11">
        <f>SUMIF('AI Recommendations'!F:F,"Gorakhpur",'AI Recommendations'!L:L)</f>
        <v/>
      </c>
      <c r="E11">
        <f>ROUND(SUMIF('AI Recommendations'!F:F,"Gorakhpur",'AI Recommendations'!N:N),2)</f>
        <v/>
      </c>
    </row>
    <row r="12">
      <c r="A12" t="inlineStr">
        <is>
          <t>Aligarh</t>
        </is>
      </c>
      <c r="B12">
        <f>COUNTIF('AI Recommendations'!F:F,"Aligarh")</f>
        <v/>
      </c>
      <c r="C12">
        <f>SUMIF('AI Recommendations'!F:F,"Aligarh",'AI Recommendations'!J:J)</f>
        <v/>
      </c>
      <c r="D12">
        <f>SUMIF('AI Recommendations'!F:F,"Aligarh",'AI Recommendations'!L:L)</f>
        <v/>
      </c>
      <c r="E12">
        <f>ROUND(SUMIF('AI Recommendations'!F:F,"Aligarh",'AI Recommendations'!N:N),2)</f>
        <v/>
      </c>
    </row>
    <row r="13">
      <c r="A13" t="inlineStr">
        <is>
          <t>Jhansi</t>
        </is>
      </c>
      <c r="B13">
        <f>COUNTIF('AI Recommendations'!F:F,"Jhansi")</f>
        <v/>
      </c>
      <c r="C13">
        <f>SUMIF('AI Recommendations'!F:F,"Jhansi",'AI Recommendations'!J:J)</f>
        <v/>
      </c>
      <c r="D13">
        <f>SUMIF('AI Recommendations'!F:F,"Jhansi",'AI Recommendations'!L:L)</f>
        <v/>
      </c>
      <c r="E13">
        <f>ROUND(SUMIF('AI Recommendations'!F:F,"Jhansi",'AI Recommendations'!N:N),2)</f>
        <v/>
      </c>
    </row>
    <row r="14">
      <c r="A14" t="inlineStr">
        <is>
          <t>Ayodhya</t>
        </is>
      </c>
      <c r="B14">
        <f>COUNTIF('AI Recommendations'!F:F,"Ayodhya")</f>
        <v/>
      </c>
      <c r="C14">
        <f>SUMIF('AI Recommendations'!F:F,"Ayodhya",'AI Recommendations'!J:J)</f>
        <v/>
      </c>
      <c r="D14">
        <f>SUMIF('AI Recommendations'!F:F,"Ayodhya",'AI Recommendations'!L:L)</f>
        <v/>
      </c>
      <c r="E14">
        <f>ROUND(SUMIF('AI Recommendations'!F:F,"Ayodhya",'AI Recommendations'!N:N),2)</f>
        <v/>
      </c>
    </row>
    <row r="15">
      <c r="A15" t="inlineStr">
        <is>
          <t>Mathura</t>
        </is>
      </c>
      <c r="B15">
        <f>COUNTIF('AI Recommendations'!F:F,"Mathura")</f>
        <v/>
      </c>
      <c r="C15">
        <f>SUMIF('AI Recommendations'!F:F,"Mathura",'AI Recommendations'!J:J)</f>
        <v/>
      </c>
      <c r="D15">
        <f>SUMIF('AI Recommendations'!F:F,"Mathura",'AI Recommendations'!L:L)</f>
        <v/>
      </c>
      <c r="E15">
        <f>ROUND(SUMIF('AI Recommendations'!F:F,"Mathura",'AI Recommendations'!N:N),2)</f>
        <v/>
      </c>
    </row>
    <row r="16">
      <c r="A16" t="inlineStr">
        <is>
          <t>Moradabad</t>
        </is>
      </c>
      <c r="B16">
        <f>COUNTIF('AI Recommendations'!F:F,"Moradabad")</f>
        <v/>
      </c>
      <c r="C16">
        <f>SUMIF('AI Recommendations'!F:F,"Moradabad",'AI Recommendations'!J:J)</f>
        <v/>
      </c>
      <c r="D16">
        <f>SUMIF('AI Recommendations'!F:F,"Moradabad",'AI Recommendations'!L:L)</f>
        <v/>
      </c>
      <c r="E16">
        <f>ROUND(SUMIF('AI Recommendations'!F:F,"Moradabad",'AI Recommendations'!N:N),2)</f>
        <v/>
      </c>
    </row>
    <row r="17">
      <c r="A17" t="inlineStr">
        <is>
          <t>Saharanpur</t>
        </is>
      </c>
      <c r="B17">
        <f>COUNTIF('AI Recommendations'!F:F,"Saharanpur")</f>
        <v/>
      </c>
      <c r="C17">
        <f>SUMIF('AI Recommendations'!F:F,"Saharanpur",'AI Recommendations'!J:J)</f>
        <v/>
      </c>
      <c r="D17">
        <f>SUMIF('AI Recommendations'!F:F,"Saharanpur",'AI Recommendations'!L:L)</f>
        <v/>
      </c>
      <c r="E17">
        <f>ROUND(SUMIF('AI Recommendations'!F:F,"Saharanpur",'AI Recommendations'!N:N),2)</f>
        <v/>
      </c>
    </row>
    <row r="18">
      <c r="A18" t="inlineStr">
        <is>
          <t>Multi-district</t>
        </is>
      </c>
      <c r="B18">
        <f>COUNTIF('AI Recommendations'!F:F,"Multi-district")</f>
        <v/>
      </c>
      <c r="C18">
        <f>SUMIF('AI Recommendations'!F:F,"Multi-district",'AI Recommendations'!J:J)</f>
        <v/>
      </c>
      <c r="D18">
        <f>SUMIF('AI Recommendations'!F:F,"Multi-district",'AI Recommendations'!L:L)</f>
        <v/>
      </c>
      <c r="E18">
        <f>ROUND(SUMIF('AI Recommendations'!F:F,"Multi-district",'AI Recommendations'!N:N),2)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>
      <c r="A1" s="7" t="inlineStr">
        <is>
          <t>Start Year</t>
        </is>
      </c>
      <c r="B1" s="7" t="inlineStr">
        <is>
          <t>Count</t>
        </is>
      </c>
      <c r="C1" s="7" t="inlineStr">
        <is>
          <t>Required</t>
        </is>
      </c>
      <c r="D1" s="7" t="inlineStr">
        <is>
          <t>Gap</t>
        </is>
      </c>
      <c r="E1" s="7" t="inlineStr">
        <is>
          <t>Budget (Cr)</t>
        </is>
      </c>
    </row>
    <row r="2">
      <c r="A2" t="n">
        <v>2025</v>
      </c>
      <c r="B2">
        <f>COUNTIF('AI Recommendations'!P:P,2025)</f>
        <v/>
      </c>
      <c r="C2">
        <f>SUMIF('AI Recommendations'!P:P,2025,'AI Recommendations'!J:J)</f>
        <v/>
      </c>
      <c r="D2">
        <f>SUMIF('AI Recommendations'!P:P,2025,'AI Recommendations'!L:L)</f>
        <v/>
      </c>
      <c r="E2">
        <f>ROUND(SUMIF('AI Recommendations'!P:P,2025,'AI Recommendations'!N:N),2)</f>
        <v/>
      </c>
    </row>
    <row r="3">
      <c r="A3" t="n">
        <v>2026</v>
      </c>
      <c r="B3">
        <f>COUNTIF('AI Recommendations'!P:P,2026)</f>
        <v/>
      </c>
      <c r="C3">
        <f>SUMIF('AI Recommendations'!P:P,2026,'AI Recommendations'!J:J)</f>
        <v/>
      </c>
      <c r="D3">
        <f>SUMIF('AI Recommendations'!P:P,2026,'AI Recommendations'!L:L)</f>
        <v/>
      </c>
      <c r="E3">
        <f>ROUND(SUMIF('AI Recommendations'!P:P,2026,'AI Recommendations'!N:N),2)</f>
        <v/>
      </c>
    </row>
    <row r="4">
      <c r="A4" t="n">
        <v>2027</v>
      </c>
      <c r="B4">
        <f>COUNTIF('AI Recommendations'!P:P,2027)</f>
        <v/>
      </c>
      <c r="C4">
        <f>SUMIF('AI Recommendations'!P:P,2027,'AI Recommendations'!J:J)</f>
        <v/>
      </c>
      <c r="D4">
        <f>SUMIF('AI Recommendations'!P:P,2027,'AI Recommendations'!L:L)</f>
        <v/>
      </c>
      <c r="E4">
        <f>ROUND(SUMIF('AI Recommendations'!P:P,2027,'AI Recommendations'!N:N),2)</f>
        <v/>
      </c>
    </row>
    <row r="5">
      <c r="A5" t="n">
        <v>2028</v>
      </c>
      <c r="B5">
        <f>COUNTIF('AI Recommendations'!P:P,2028)</f>
        <v/>
      </c>
      <c r="C5">
        <f>SUMIF('AI Recommendations'!P:P,2028,'AI Recommendations'!J:J)</f>
        <v/>
      </c>
      <c r="D5">
        <f>SUMIF('AI Recommendations'!P:P,2028,'AI Recommendations'!L:L)</f>
        <v/>
      </c>
      <c r="E5">
        <f>ROUND(SUMIF('AI Recommendations'!P:P,2028,'AI Recommendations'!N:N),2)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</cols>
  <sheetData>
    <row r="1">
      <c r="A1" s="7" t="inlineStr">
        <is>
          <t>Action Type</t>
        </is>
      </c>
      <c r="B1" s="7" t="inlineStr">
        <is>
          <t>Count</t>
        </is>
      </c>
      <c r="C1" s="7" t="inlineStr">
        <is>
          <t>Budget (Cr)</t>
        </is>
      </c>
    </row>
    <row r="2">
      <c r="A2" t="inlineStr">
        <is>
          <t>Skilling</t>
        </is>
      </c>
      <c r="B2">
        <f>COUNTIF('AI Recommendations'!H:H,"Skilling")</f>
        <v/>
      </c>
      <c r="C2">
        <f>ROUND(SUMIF('AI Recommendations'!H:H,"Skilling",'AI Recommendations'!N:N),2)</f>
        <v/>
      </c>
    </row>
    <row r="3">
      <c r="A3" t="inlineStr">
        <is>
          <t>Recruitment</t>
        </is>
      </c>
      <c r="B3">
        <f>COUNTIF('AI Recommendations'!H:H,"Recruitment")</f>
        <v/>
      </c>
      <c r="C3">
        <f>ROUND(SUMIF('AI Recommendations'!H:H,"Recruitment",'AI Recommendations'!N:N),2)</f>
        <v/>
      </c>
    </row>
    <row r="4">
      <c r="A4" t="inlineStr">
        <is>
          <t>Curriculum Reform</t>
        </is>
      </c>
      <c r="B4">
        <f>COUNTIF('AI Recommendations'!H:H,"Curriculum Reform")</f>
        <v/>
      </c>
      <c r="C4">
        <f>ROUND(SUMIF('AI Recommendations'!H:H,"Curriculum Reform",'AI Recommendations'!N:N),2)</f>
        <v/>
      </c>
    </row>
    <row r="5">
      <c r="A5" t="inlineStr">
        <is>
          <t>Centre of Excellence</t>
        </is>
      </c>
      <c r="B5">
        <f>COUNTIF('AI Recommendations'!H:H,"Centre of Excellence")</f>
        <v/>
      </c>
      <c r="C5">
        <f>ROUND(SUMIF('AI Recommendations'!H:H,"Centre of Excellence",'AI Recommendations'!N:N),2)</f>
        <v/>
      </c>
    </row>
    <row r="6">
      <c r="A6" t="inlineStr">
        <is>
          <t>ITI Conversion</t>
        </is>
      </c>
      <c r="B6">
        <f>COUNTIF('AI Recommendations'!H:H,"ITI Conversion")</f>
        <v/>
      </c>
      <c r="C6">
        <f>ROUND(SUMIF('AI Recommendations'!H:H,"ITI Conversion",'AI Recommendations'!N:N),2)</f>
        <v/>
      </c>
    </row>
    <row r="7">
      <c r="A7" t="inlineStr">
        <is>
          <t>PPP Partnership</t>
        </is>
      </c>
      <c r="B7">
        <f>COUNTIF('AI Recommendations'!H:H,"PPP Partnership")</f>
        <v/>
      </c>
      <c r="C7">
        <f>ROUND(SUMIF('AI Recommendations'!H:H,"PPP Partnership",'AI Recommendations'!N:N),2)</f>
        <v/>
      </c>
    </row>
    <row r="8">
      <c r="A8" t="inlineStr">
        <is>
          <t>Apprenticeship</t>
        </is>
      </c>
      <c r="B8">
        <f>COUNTIF('AI Recommendations'!H:H,"Apprenticeship")</f>
        <v/>
      </c>
      <c r="C8">
        <f>ROUND(SUMIF('AI Recommendations'!H:H,"Apprenticeship",'AI Recommendations'!N:N),2)</f>
        <v/>
      </c>
    </row>
    <row r="9">
      <c r="A9" t="inlineStr">
        <is>
          <t>Fast-track Hiring</t>
        </is>
      </c>
      <c r="B9">
        <f>COUNTIF('AI Recommendations'!H:H,"Fast-track Hiring")</f>
        <v/>
      </c>
      <c r="C9">
        <f>ROUND(SUMIF('AI Recommendations'!H:H,"Fast-track Hiring",'AI Recommendations'!N:N),2)</f>
        <v/>
      </c>
    </row>
    <row r="10">
      <c r="A10" t="inlineStr">
        <is>
          <t>University Tie-up</t>
        </is>
      </c>
      <c r="B10">
        <f>COUNTIF('AI Recommendations'!H:H,"University Tie-up")</f>
        <v/>
      </c>
      <c r="C10">
        <f>ROUND(SUMIF('AI Recommendations'!H:H,"University Tie-up",'AI Recommendations'!N:N),2)</f>
        <v/>
      </c>
    </row>
    <row r="11">
      <c r="A11" t="inlineStr">
        <is>
          <t>Certification Program</t>
        </is>
      </c>
      <c r="B11">
        <f>COUNTIF('AI Recommendations'!H:H,"Certification Program")</f>
        <v/>
      </c>
      <c r="C11">
        <f>ROUND(SUMIF('AI Recommendations'!H:H,"Certification Program",'AI Recommendations'!N:N),2)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2026-06-07T17:22:07Z</dcterms:created>
  <dcterms:modified xmlns:dcterms="http://purl.org/dc/terms/" xmlns:xsi="http://www.w3.org/2001/XMLSchema-instance" xsi:type="dcterms:W3CDTF">2026-06-07T17:22:07Z</dcterms:modified>
</cp:coreProperties>
</file>
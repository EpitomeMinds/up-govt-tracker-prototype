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6.xml" ContentType="application/vnd.openxmlformats-officedocument.spreadsheetml.table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Dashboard" sheetId="2" state="visible" r:id="rId4"/>
    <sheet name="Control_Panel" sheetId="3" state="visible" r:id="rId5"/>
    <sheet name="Sector_SubSector_Master" sheetId="4" state="visible" r:id="rId6"/>
    <sheet name="State_City_Master" sheetId="5" state="visible" r:id="rId7"/>
    <sheet name="Project_Pipeline" sheetId="6" state="visible" r:id="rId8"/>
    <sheet name="FDI_Inflow_Tracker" sheetId="7" state="visible" r:id="rId9"/>
    <sheet name="PLI_Scheme_Tracker" sheetId="8" state="visible" r:id="rId10"/>
    <sheet name="Startup_Funding_Tracker" sheetId="9" state="visible" r:id="rId11"/>
    <sheet name="Vacancy_Gap_Analysis" sheetId="10" state="visible" r:id="rId12"/>
    <sheet name="Job_Forecast_3_6_12_24M" sheetId="11" state="visible" r:id="rId13"/>
    <sheet name="Skills_Roles_Demand" sheetId="12" state="visible" r:id="rId14"/>
    <sheet name="Top_Employers_Hiring" sheetId="13" state="visible" r:id="rId15"/>
    <sheet name="Hiring_Heatmap_Matrix" sheetId="14" state="visible" r:id="rId16"/>
    <sheet name="Economic_Indicators" sheetId="15" state="visible" r:id="rId17"/>
    <sheet name="Investment_to_Employment" sheetId="16" state="visible" r:id="rId18"/>
    <sheet name="Historical_Trend_Comparison" sheetId="17" state="visible" r:id="rId19"/>
    <sheet name="Alerts_Watchlist" sheetId="18" state="visible" r:id="rId20"/>
    <sheet name="AI_Insights_Log" sheetId="19" state="visible" r:id="rId21"/>
    <sheet name="Methodology_Assumptions" sheetId="20" state="visible" r:id="rId22"/>
    <sheet name="Data_Sources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<sst xmlns="http://schemas.openxmlformats.org/spreadsheetml/2006/main" count="2490" uniqueCount="1653">
  <si>
    <t xml:space="preserve">AI-Powered Job Opportunity Forecasting Dashboard — India</t>
  </si>
  <si>
    <t xml:space="preserve">Master data workbook · Built from real public datasets (PIB, DPIIT, Ministry of Commerce, Naukri JobSpeak, Tracxn, India Investment Grid, NSDC) · Data as of June 2026</t>
  </si>
  <si>
    <t xml:space="preserve">WHAT THIS WORKBOOK CONTAINS</t>
  </si>
  <si>
    <t xml:space="preserve">This workbook operationalises an AI-driven job-opportunity forecasting system for India. It converts real, sourced investment, FDI, PLI, startup-funding and hiring-index data into a structured forecasting model that estimates job creation across states, cities, sectors, sub-sectors and roles over 3/6/12/24-month horizons.</t>
  </si>
  <si>
    <t xml:space="preserve">HOW TO READ THE WORKBOOK</t>
  </si>
  <si>
    <t xml:space="preserve">1. Control Panel</t>
  </si>
  <si>
    <t xml:space="preserve">Set filters (State / Sector / Horizon) — drives the Dashboard sheet via formulas.</t>
  </si>
  <si>
    <t xml:space="preserve">2. Dashboard</t>
  </si>
  <si>
    <t xml:space="preserve">Executive summary KPIs, headline forecast, AI insight narratives.</t>
  </si>
  <si>
    <t xml:space="preserve">3. Sector_SubSector_Master</t>
  </si>
  <si>
    <t xml:space="preserve">44 sub-sectors mapped to 9 parent sectors, with elasticity &amp; multiplier assumptions.</t>
  </si>
  <si>
    <t xml:space="preserve">4. State_City_Master</t>
  </si>
  <si>
    <t xml:space="preserve">31 states/UTs and 40 leading cities with current investment stock and labour metrics.</t>
  </si>
  <si>
    <t xml:space="preserve">5. Project_Pipeline</t>
  </si>
  <si>
    <t xml:space="preserve">120 real, named investment/infrastructure projects (company, location, ₹cr, stage, jobs).</t>
  </si>
  <si>
    <t xml:space="preserve">6. FDI_Inflow_Tracker</t>
  </si>
  <si>
    <t xml:space="preserve">DPIIT FDI data — country-wise, sector-wise, state-wise, quarter-wise, FY16–FY26.</t>
  </si>
  <si>
    <t xml:space="preserve">7. PLI_Scheme_Tracker</t>
  </si>
  <si>
    <t xml:space="preserve">All 14 PLI sectors: outlay, disbursement, investment, production, jobs (PIB Dec-2025 data).</t>
  </si>
  <si>
    <t xml:space="preserve">8. Startup_Funding_Tracker</t>
  </si>
  <si>
    <t xml:space="preserve">FY24–FY26 funding by sector &amp; city (Tracxn data) with jobs-per-$ assumptions.</t>
  </si>
  <si>
    <t xml:space="preserve">9. Vacancy_Gap_Analysis</t>
  </si>
  <si>
    <t xml:space="preserve">Core sheet: open vacancies vs. supply pipeline vs. net gap, by sector × state.</t>
  </si>
  <si>
    <t xml:space="preserve">10. Job_Forecast_3_6_12_24M</t>
  </si>
  <si>
    <t xml:space="preserve">Core forecasting engine — point estimates + confidence intervals by horizon.</t>
  </si>
  <si>
    <t xml:space="preserve">11. Skills_Roles_Demand</t>
  </si>
  <si>
    <t xml:space="preserve">Trending roles/skills, YoY growth, median CTC bands, demand-supply ratio.</t>
  </si>
  <si>
    <t xml:space="preserve">12. Top_Employers_Hiring</t>
  </si>
  <si>
    <t xml:space="preserve">Top companies by announced hiring plans / expansion, with source links.</t>
  </si>
  <si>
    <t xml:space="preserve">13. Hiring_Heatmap_Matrix</t>
  </si>
  <si>
    <t xml:space="preserve">State × Sector heatmap matrix (conditional formatting) for hiring intensity.</t>
  </si>
  <si>
    <t xml:space="preserve">14. Economic_Indicators</t>
  </si>
  <si>
    <t xml:space="preserve">GDP, IIP, unemployment, capex, GST e-way bills — macro drivers feeding the model.</t>
  </si>
  <si>
    <t xml:space="preserve">15. Investment_to_Employment</t>
  </si>
  <si>
    <t xml:space="preserve">Capex-per-job benchmarks by sector — the core conversion ratio engine.</t>
  </si>
  <si>
    <t xml:space="preserve">16. Historical_Trend_Comparison</t>
  </si>
  <si>
    <t xml:space="preserve">5-year back series for validation of forecast model (back-testing).</t>
  </si>
  <si>
    <t xml:space="preserve">17. Alerts_Watchlist</t>
  </si>
  <si>
    <t xml:space="preserve">Auto-flagged high-growth regions/sectors (rule-based conditional alerts).</t>
  </si>
  <si>
    <t xml:space="preserve">18. AI_Insights_Log</t>
  </si>
  <si>
    <t xml:space="preserve">Natural-language insight statements generated from the model, with traceable inputs.</t>
  </si>
  <si>
    <t xml:space="preserve">19. Methodology_Assumptions</t>
  </si>
  <si>
    <t xml:space="preserve">Forecasting method, formulas, elasticities, confidence-interval logic.</t>
  </si>
  <si>
    <t xml:space="preserve">20. Data_Sources</t>
  </si>
  <si>
    <t xml:space="preserve">Every external source used, with direct links, retrieval date, and reliability rating.</t>
  </si>
  <si>
    <t xml:space="preserve">COLOR KEY (Excel modelling convention)</t>
  </si>
  <si>
    <t xml:space="preserve">Blue text</t>
  </si>
  <si>
    <t xml:space="preserve">Hardcoded input sourced externally (see Data_Sources / inline source notes).</t>
  </si>
  <si>
    <t xml:space="preserve">Black text</t>
  </si>
  <si>
    <t xml:space="preserve">Formula calculated within the same sheet.</t>
  </si>
  <si>
    <t xml:space="preserve">Green text</t>
  </si>
  <si>
    <t xml:space="preserve">Cross-sheet link (pulls from another tab in this workbook).</t>
  </si>
  <si>
    <t xml:space="preserve">Yellow fill</t>
  </si>
  <si>
    <t xml:space="preserve">Key assumption — change this to re-run scenarios.</t>
  </si>
  <si>
    <t xml:space="preserve">Red text</t>
  </si>
  <si>
    <t xml:space="preserve">Negative YoY change.</t>
  </si>
  <si>
    <t xml:space="preserve">IMPORTANT NOTE ON LIVE DATA</t>
  </si>
  <si>
    <t xml:space="preserve">This is a static, point-in-time snapshot (data current as of June 2026) structured exactly as a live system would ingest it. In a production deployment, each tracker sheet (FDI, PLI, Startup Funding, Project Pipeline) would be refreshed via scheduled API/scraper pulls from the sources listed in Data_Sources, and the forecasting formulas would re-run automatically. All figures here are real published figures as of their stated dates, not synthetic placeholders — see inline source citations in column-adjacent comment cells.</t>
  </si>
  <si>
    <t xml:space="preserve">AI Job Opportunity Forecasting Dashboard — Executive Summary</t>
  </si>
  <si>
    <t xml:space="preserve">Live KPIs pulled from underlying tracker sheets - Data as of June 2026 - See README for navigation</t>
  </si>
  <si>
    <t xml:space="preserve">Total PLI Jobs Created (Cumulative)</t>
  </si>
  <si>
    <t xml:space="preserve">FY25-26 FDI Inflow</t>
  </si>
  <si>
    <t xml:space="preserve">FY25-26 Startup Funding</t>
  </si>
  <si>
    <t xml:space="preserve">Tracked Pipeline Investment</t>
  </si>
  <si>
    <t xml:space="preserve">jobs</t>
  </si>
  <si>
    <t xml:space="preserve">US$ Bn</t>
  </si>
  <si>
    <t xml:space="preserve">Rs Cr</t>
  </si>
  <si>
    <t xml:space="preserve">NATIONAL JOB-CREATION FORECAST BY HORIZON (tracked pipeline)</t>
  </si>
  <si>
    <t xml:space="preserve">Horizon</t>
  </si>
  <si>
    <t xml:space="preserve">Point Estimate (Jobs)</t>
  </si>
  <si>
    <t xml:space="preserve">80% CI Low</t>
  </si>
  <si>
    <t xml:space="preserve">80% CI High</t>
  </si>
  <si>
    <t xml:space="preserve">3 Months</t>
  </si>
  <si>
    <t xml:space="preserve">6 Months</t>
  </si>
  <si>
    <t xml:space="preserve">12 Months</t>
  </si>
  <si>
    <t xml:space="preserve">24 Months</t>
  </si>
  <si>
    <t xml:space="preserve">TOP STATES BY COMPOSITE HIRING INTENSITY (avg across tracked sectors)</t>
  </si>
  <si>
    <t xml:space="preserve">Rank</t>
  </si>
  <si>
    <t xml:space="preserve">State</t>
  </si>
  <si>
    <t xml:space="preserve">Avg. Hiring Intensity Index</t>
  </si>
  <si>
    <t xml:space="preserve">Link</t>
  </si>
  <si>
    <t xml:space="preserve">Gujarat</t>
  </si>
  <si>
    <t xml:space="preserve">See Hiring_Heatmap_Matrix</t>
  </si>
  <si>
    <t xml:space="preserve">Tamil Nadu</t>
  </si>
  <si>
    <t xml:space="preserve">Karnataka</t>
  </si>
  <si>
    <t xml:space="preserve">Maharashtra</t>
  </si>
  <si>
    <t xml:space="preserve">Delhi-NCR</t>
  </si>
  <si>
    <t xml:space="preserve">ACTIVE CRITICAL ALERTS</t>
  </si>
  <si>
    <t xml:space="preserve">Alert</t>
  </si>
  <si>
    <t xml:space="preserve">Region/Sector</t>
  </si>
  <si>
    <t xml:space="preserve">Detail</t>
  </si>
  <si>
    <t xml:space="preserve">FEATURED AI-GENERATED INSIGHT</t>
  </si>
  <si>
    <t xml:space="preserve">Control Panel — Filters</t>
  </si>
  <si>
    <t xml:space="preserve">Change the cells below (yellow fill) to filter the Dashboard sheet. Dropdowns are data-validated against master lists.</t>
  </si>
  <si>
    <t xml:space="preserve">FILTER SELECTIONS</t>
  </si>
  <si>
    <t xml:space="preserve">State Filter</t>
  </si>
  <si>
    <t xml:space="preserve">All States</t>
  </si>
  <si>
    <t xml:space="preserve">Sector Filter</t>
  </si>
  <si>
    <t xml:space="preserve">All Sectors</t>
  </si>
  <si>
    <t xml:space="preserve">Time Horizon</t>
  </si>
  <si>
    <t xml:space="preserve">District/City Filter</t>
  </si>
  <si>
    <t xml:space="preserve">All Cities</t>
  </si>
  <si>
    <t xml:space="preserve">Investment Size Band</t>
  </si>
  <si>
    <t xml:space="preserve">All Sizes</t>
  </si>
  <si>
    <t xml:space="preserve">Project Stage Filter</t>
  </si>
  <si>
    <t xml:space="preserve">All Stages</t>
  </si>
  <si>
    <t xml:space="preserve">Note: This Control Panel demonstrates the filter architecture for the dashboard. The Dashboard sheet's KPI tiles use SUMIFS/AVERAGEIFS formulas referencing these cells (e.g. =SUMIFS(Job_Forecast_3_6_12_24M!K:K, Job_Forecast_3_6_12_24M!B:B, Control_Panel!$B$6) for state-filtered totals). In a live BI tool (Power BI/Tableau/custom dashboard), these would be interactive slicers wired to the same underlying tables.</t>
  </si>
  <si>
    <t xml:space="preserve">Sector → Sub-Sector Master</t>
  </si>
  <si>
    <t xml:space="preserve">9 parent sectors · 44 sub-sectors · job-creation elasticity &amp; investment multiplier assumptions used by the forecast engine</t>
  </si>
  <si>
    <t xml:space="preserve">Sector_ID</t>
  </si>
  <si>
    <t xml:space="preserve">Parent Sector</t>
  </si>
  <si>
    <t xml:space="preserve">SubSector_ID</t>
  </si>
  <si>
    <t xml:space="preserve">Sub-Sector / Industry</t>
  </si>
  <si>
    <t xml:space="preserve">Capex Intensity
(₹cr per 1,000 direct jobs)</t>
  </si>
  <si>
    <t xml:space="preserve">Direct:Indirect
Job Multiplier</t>
  </si>
  <si>
    <t xml:space="preserve">Jobs per ₹100cr
Investment (Direct)</t>
  </si>
  <si>
    <t xml:space="preserve">Avg. Gestation
(months to 1st hiring)</t>
  </si>
  <si>
    <t xml:space="preserve">FY26 Naukri
Hiring YoY %</t>
  </si>
  <si>
    <t xml:space="preserve">Current National
Open Roles (est.)</t>
  </si>
  <si>
    <t xml:space="preserve">PLI Coverage
(Y/N)</t>
  </si>
  <si>
    <t xml:space="preserve">Notes / Primary Source</t>
  </si>
  <si>
    <t xml:space="preserve">S1</t>
  </si>
  <si>
    <t xml:space="preserve">Manufacturing &amp; PLI Industries</t>
  </si>
  <si>
    <t xml:space="preserve">SS01</t>
  </si>
  <si>
    <t xml:space="preserve">Electronics &amp; Mobile Manufacturing</t>
  </si>
  <si>
    <t xml:space="preserve">Y</t>
  </si>
  <si>
    <t xml:space="preserve">PLI electronics: largest PLI sub-sector by production (₹5.25-5.45L cr FY25 prod.). Source: PIB PRID=2230621, Dec-2025.</t>
  </si>
  <si>
    <t xml:space="preserve">SS02</t>
  </si>
  <si>
    <t xml:space="preserve">Semiconductors &amp; ATMP/OSAT</t>
  </si>
  <si>
    <t xml:space="preserve">Gujarat OSAT/compound-fab: 2,230 jobs / ₹3,936cr (2 projects, May-2026 MeitY approval). Capital-intensive, long gestation.</t>
  </si>
  <si>
    <t xml:space="preserve">SS03</t>
  </si>
  <si>
    <t xml:space="preserve">Pharmaceuticals &amp; Bulk Drugs/API</t>
  </si>
  <si>
    <t xml:space="preserve">PLI Pharma + Bulk Drug schemes; part of 14.39L PLI jobs. Source: PIB Dec-2025 PLI release.</t>
  </si>
  <si>
    <t xml:space="preserve">SS04</t>
  </si>
  <si>
    <t xml:space="preserve">Automobiles &amp; Auto Components (incl. EV)</t>
  </si>
  <si>
    <t xml:space="preserve">Auto PLI sales ₹32,879cr FY25-26; EV push. Source: Arthneeti PLI Analysis, Mar-2026.</t>
  </si>
  <si>
    <t xml:space="preserve">SS05</t>
  </si>
  <si>
    <t xml:space="preserve">Advanced Chemistry Cell (ACC) Batteries</t>
  </si>
  <si>
    <t xml:space="preserve">Supports EV/ESS value chain; capital intensive cell manufacturing. PLI-ACC scheme.</t>
  </si>
  <si>
    <t xml:space="preserve">SS06</t>
  </si>
  <si>
    <t xml:space="preserve">Food Processing</t>
  </si>
  <si>
    <t xml:space="preserve">PLISFPI: 3.39L jobs / ₹9,207cr investment, 165 applications, 274 project sites. Source: Tribune/ANI, 21-Apr-2026.</t>
  </si>
  <si>
    <t xml:space="preserve">SS07</t>
  </si>
  <si>
    <t xml:space="preserve">Textiles &amp; Apparel (incl. PM MITRA)</t>
  </si>
  <si>
    <t xml:space="preserve">Labour-intensive PLI textile scheme + PM MITRA parks; strong MSME linkage.</t>
  </si>
  <si>
    <t xml:space="preserve">SS08</t>
  </si>
  <si>
    <t xml:space="preserve">Speciality Steel</t>
  </si>
  <si>
    <t xml:space="preserve">PLI speciality steel scheme; import-substitution focus.</t>
  </si>
  <si>
    <t xml:space="preserve">SS09</t>
  </si>
  <si>
    <t xml:space="preserve">Telecom &amp; Networking Equipment</t>
  </si>
  <si>
    <t xml:space="preserve">Telecom PLI exports ₹21,033cr FY25-26 (Arthneeti, Mar-2026).</t>
  </si>
  <si>
    <t xml:space="preserve">SS10</t>
  </si>
  <si>
    <t xml:space="preserve">White Goods (AC components, LED)</t>
  </si>
  <si>
    <t xml:space="preserve">PLI white goods scheme; component localisation drive.</t>
  </si>
  <si>
    <t xml:space="preserve">SS11</t>
  </si>
  <si>
    <t xml:space="preserve">Drones &amp; Aerospace Components</t>
  </si>
  <si>
    <t xml:space="preserve">Smaller PLI scheme; high-growth niche, defence-linked demand.</t>
  </si>
  <si>
    <t xml:space="preserve">SS12</t>
  </si>
  <si>
    <t xml:space="preserve">Medical Devices</t>
  </si>
  <si>
    <t xml:space="preserve">PLI medical devices; import substitution for diagnostics/devices.</t>
  </si>
  <si>
    <t xml:space="preserve">S2</t>
  </si>
  <si>
    <t xml:space="preserve">Semiconductors &amp; Electronics Hardware</t>
  </si>
  <si>
    <t xml:space="preserve">SS13</t>
  </si>
  <si>
    <t xml:space="preserve">Display Fab &amp; Packaging (HCL-Foxconn type)</t>
  </si>
  <si>
    <t xml:space="preserve">HCL-Foxconn Greater Noida JV targets 36mn display driver chips/month from 2027. Source: IMARC, Apr-2026.</t>
  </si>
  <si>
    <t xml:space="preserve">SS14</t>
  </si>
  <si>
    <t xml:space="preserve">Silicon Carbide (SiC) &amp; Compound Semiconductors</t>
  </si>
  <si>
    <t xml:space="preserve">RIR Power Electronics SiC fab, Odisha, ₹618cr — India's first SiC fab. Source: IMARC, Apr-2026.</t>
  </si>
  <si>
    <t xml:space="preserve">S3</t>
  </si>
  <si>
    <t xml:space="preserve">Renewable Energy &amp; Green Economy</t>
  </si>
  <si>
    <t xml:space="preserve">SS15</t>
  </si>
  <si>
    <t xml:space="preserve">Solar PV Manufacturing (Modules/Cells)</t>
  </si>
  <si>
    <t xml:space="preserve">Part of PLI National Programme on High Efficiency Solar PV Modules.</t>
  </si>
  <si>
    <t xml:space="preserve">SS16</t>
  </si>
  <si>
    <t xml:space="preserve">Green Hydrogen &amp; Electrolysers</t>
  </si>
  <si>
    <t xml:space="preserve">N</t>
  </si>
  <si>
    <t xml:space="preserve">National Green Hydrogen Mission incentives; nascent but fast-growing.</t>
  </si>
  <si>
    <t xml:space="preserve">SS17</t>
  </si>
  <si>
    <t xml:space="preserve">EV Charging Infrastructure &amp; Battery Swapping</t>
  </si>
  <si>
    <t xml:space="preserve">Rapid network rollout; high direct-hire intensity, low capex/job.</t>
  </si>
  <si>
    <t xml:space="preserve">SS18</t>
  </si>
  <si>
    <t xml:space="preserve">Wind &amp; Hybrid Renewable Power Projects</t>
  </si>
  <si>
    <t xml:space="preserve">Large project pipeline across Gujarat, Tamil Nadu, Rajasthan, Karnataka.</t>
  </si>
  <si>
    <t xml:space="preserve">S4</t>
  </si>
  <si>
    <t xml:space="preserve">IT, Software &amp; Digital Services</t>
  </si>
  <si>
    <t xml:space="preserve">SS19</t>
  </si>
  <si>
    <t xml:space="preserve">IT Services &amp; GCC (Global Capability Centres)</t>
  </si>
  <si>
    <t xml:space="preserve">Naukri JobSpeak: IT sector flat in FY26; GCC expansion offsets traditional IT services slowdown. Mar-2026 report.</t>
  </si>
  <si>
    <t xml:space="preserve">SS20</t>
  </si>
  <si>
    <t xml:space="preserve">AI / ML &amp; Data Science</t>
  </si>
  <si>
    <t xml:space="preserve">AI/ML hiring +45% FY26, +37% YoY in March alone. Source: Naukri JobSpeak, Apr-2026.</t>
  </si>
  <si>
    <t xml:space="preserve">SS21</t>
  </si>
  <si>
    <t xml:space="preserve">Cybersecurity</t>
  </si>
  <si>
    <t xml:space="preserve">Rising demand tied to digital infra build-out and data-protection compliance.</t>
  </si>
  <si>
    <t xml:space="preserve">SS22</t>
  </si>
  <si>
    <t xml:space="preserve">SaaS / Enterprise Software</t>
  </si>
  <si>
    <t xml:space="preserve">Enterprise Applications: top-funded VC sector, $3.6bn FY26 (Tracxn).</t>
  </si>
  <si>
    <t xml:space="preserve">S5</t>
  </si>
  <si>
    <t xml:space="preserve">BFSI &amp; Fintech</t>
  </si>
  <si>
    <t xml:space="preserve">SS23</t>
  </si>
  <si>
    <t xml:space="preserve">Fintech &amp; Digital Lending</t>
  </si>
  <si>
    <t xml:space="preserve">Fintech raised $2.4bn FY26, +14% YoY (Tracxn India Tech Annual Report, Apr-2026).</t>
  </si>
  <si>
    <t xml:space="preserve">SS24</t>
  </si>
  <si>
    <t xml:space="preserve">Banking &amp; Financial Services (Traditional)</t>
  </si>
  <si>
    <t xml:space="preserve">Naukri JobSpeak Jan-2026: BFSI -15% YoY, one of few declining non-IT sectors.</t>
  </si>
  <si>
    <t xml:space="preserve">SS25</t>
  </si>
  <si>
    <t xml:space="preserve">Insurance</t>
  </si>
  <si>
    <t xml:space="preserve">Naukri JobSpeak FY26: Insurance +6-7% YoY consistently.</t>
  </si>
  <si>
    <t xml:space="preserve">S6</t>
  </si>
  <si>
    <t xml:space="preserve">Logistics, Infrastructure &amp; Real Estate</t>
  </si>
  <si>
    <t xml:space="preserve">SS26</t>
  </si>
  <si>
    <t xml:space="preserve">Logistics, Warehousing &amp; E-commerce Fulfilment</t>
  </si>
  <si>
    <t xml:space="preserve">Industrial corridor + quick-commerce dark-store expansion drives high direct hiring.</t>
  </si>
  <si>
    <t xml:space="preserve">SS27</t>
  </si>
  <si>
    <t xml:space="preserve">Real Estate &amp; Construction</t>
  </si>
  <si>
    <t xml:space="preserve">Naukri JobSpeak Mar-2026: Real Estate +14% YoY; high seasonal/contract hiring.</t>
  </si>
  <si>
    <t xml:space="preserve">SS28</t>
  </si>
  <si>
    <t xml:space="preserve">Industrial Corridors &amp; SEZ Infrastructure</t>
  </si>
  <si>
    <t xml:space="preserve">DMIC, Delhi-Mumbai, Amritsar-Kolkata corridors; long-gestation infra hiring.</t>
  </si>
  <si>
    <t xml:space="preserve">SS29</t>
  </si>
  <si>
    <t xml:space="preserve">Ports, Shipping &amp; Maritime</t>
  </si>
  <si>
    <t xml:space="preserve">Sagarmala + Mundra/Kandla expansion supporting semiconductor &amp; export logistics.</t>
  </si>
  <si>
    <t xml:space="preserve">SS30</t>
  </si>
  <si>
    <t xml:space="preserve">Railways, Metro &amp; Urban Transit</t>
  </si>
  <si>
    <t xml:space="preserve">Metro expansion across Tier-2 cities; PSU + EPC contractor hiring.</t>
  </si>
  <si>
    <t xml:space="preserve">S7</t>
  </si>
  <si>
    <t xml:space="preserve">Healthcare, Education &amp; Hospitality</t>
  </si>
  <si>
    <t xml:space="preserve">SS31</t>
  </si>
  <si>
    <t xml:space="preserve">Hospitality &amp; Travel</t>
  </si>
  <si>
    <t xml:space="preserve">Naukri JobSpeak Mar-2026: Hospitality leads non-IT growth at +21% YoY.</t>
  </si>
  <si>
    <t xml:space="preserve">SS32</t>
  </si>
  <si>
    <t xml:space="preserve">Healthcare &amp; Hospitals</t>
  </si>
  <si>
    <t xml:space="preserve">Steady mid-single-digit-to-double-digit hiring growth across FY26 JobSpeak releases.</t>
  </si>
  <si>
    <t xml:space="preserve">SS33</t>
  </si>
  <si>
    <t xml:space="preserve">Education &amp; EdTech</t>
  </si>
  <si>
    <t xml:space="preserve">Naukri JobSpeak Mar-2026: Education +15% YoY, among top 5 fastest-growing sectors.</t>
  </si>
  <si>
    <t xml:space="preserve">SS34</t>
  </si>
  <si>
    <t xml:space="preserve">BPO / ITES &amp; Customer Experience</t>
  </si>
  <si>
    <t xml:space="preserve">Naukri JobSpeak FY26: BPO/ITES +18% YoY (Mar), +21% (Jan) — consistent leader.</t>
  </si>
  <si>
    <t xml:space="preserve">S8</t>
  </si>
  <si>
    <t xml:space="preserve">Energy, Oil &amp; Gas, Core Industry</t>
  </si>
  <si>
    <t xml:space="preserve">SS35</t>
  </si>
  <si>
    <t xml:space="preserve">Oil &amp; Gas (incl. Refining Expansion)</t>
  </si>
  <si>
    <t xml:space="preserve">Naukri JobSpeak Mar-2026: Oil &amp; Gas +15% YoY, driven by refinery &amp; energy-security capex.</t>
  </si>
  <si>
    <t xml:space="preserve">SS36</t>
  </si>
  <si>
    <t xml:space="preserve">Cement &amp; Building Materials</t>
  </si>
  <si>
    <t xml:space="preserve">Capacity expansion tracks infra/real-estate cycle; moderate elasticity.</t>
  </si>
  <si>
    <t xml:space="preserve">SS37</t>
  </si>
  <si>
    <t xml:space="preserve">Mining &amp; Metals</t>
  </si>
  <si>
    <t xml:space="preserve">Coal, iron-ore and critical-mineral mining projects under new mining policy push.</t>
  </si>
  <si>
    <t xml:space="preserve">SS38</t>
  </si>
  <si>
    <t xml:space="preserve">Power Generation &amp; Transmission (Conventional)</t>
  </si>
  <si>
    <t xml:space="preserve">Grid strengthening and thermal/nuclear capacity addition projects.</t>
  </si>
  <si>
    <t xml:space="preserve">S9</t>
  </si>
  <si>
    <t xml:space="preserve">Startups, Agritech &amp; Emerging Sectors</t>
  </si>
  <si>
    <t xml:space="preserve">SS39</t>
  </si>
  <si>
    <t xml:space="preserve">Quick Commerce &amp; E-commerce</t>
  </si>
  <si>
    <t xml:space="preserve">Q1-2026 e-commerce: 44 deals, $188mn raised (Entrackr); high direct ops hiring per ₹.</t>
  </si>
  <si>
    <t xml:space="preserve">SS40</t>
  </si>
  <si>
    <t xml:space="preserve">Deeptech &amp; Robotics</t>
  </si>
  <si>
    <t xml:space="preserve">28 deals, $105.8mn Q1-2026 (Entrackr); R&amp;D-heavy, smaller headcount per round.</t>
  </si>
  <si>
    <t xml:space="preserve">SS41</t>
  </si>
  <si>
    <t xml:space="preserve">Agritech</t>
  </si>
  <si>
    <t xml:space="preserve">Arya.ag $80.3mn round Q1-2026 among top deals (Entrackr, Apr-2026).</t>
  </si>
  <si>
    <t xml:space="preserve">SS42</t>
  </si>
  <si>
    <t xml:space="preserve">EV Mobility Startups (2W/3W/Fleet/Charging)</t>
  </si>
  <si>
    <t xml:space="preserve">Erisha E-Mobility $1.0bn, GreenLine $275mn, Euler Motors ₹437.5cr (Mar-2026). High-momentum sector.</t>
  </si>
  <si>
    <t xml:space="preserve">SS43</t>
  </si>
  <si>
    <t xml:space="preserve">HealthTech</t>
  </si>
  <si>
    <t xml:space="preserve">$290.3mn across 35 deals Q1-2026 (Entrackr).</t>
  </si>
  <si>
    <t xml:space="preserve">SS44</t>
  </si>
  <si>
    <t xml:space="preserve">AI Infrastructure &amp; GPU Cloud Startups</t>
  </si>
  <si>
    <t xml:space="preserve">Neysa $1.2bn Series B (largest single round, Q1-2026) anchors this sub-sector; capital, not headcount, heavy.</t>
  </si>
  <si>
    <t xml:space="preserve">State &amp; Leading-City Master</t>
  </si>
  <si>
    <t xml:space="preserve">31 States/UTs ranked by cumulative FDI share (DPIIT, Oct-2019–Jun-2025 series) + 40 leading hiring cities (Naukri/Tracxn city splits)</t>
  </si>
  <si>
    <t xml:space="preserve">State_ID</t>
  </si>
  <si>
    <t xml:space="preserve">State / UT</t>
  </si>
  <si>
    <t xml:space="preserve">Region</t>
  </si>
  <si>
    <t xml:space="preserve">Cumulative FDI
Equity Share %
(Oct'19–Jun'25)</t>
  </si>
  <si>
    <t xml:space="preserve">FY25-26 FDI
USD Bn (est.)</t>
  </si>
  <si>
    <t xml:space="preserve">Leading City 1</t>
  </si>
  <si>
    <t xml:space="preserve">Leading City 2</t>
  </si>
  <si>
    <t xml:space="preserve">Active PLI /
Semicon Projects</t>
  </si>
  <si>
    <t xml:space="preserve">2026 Industrial
Policy Highlight</t>
  </si>
  <si>
    <t xml:space="preserve">Naukri City
Hiring Index Tier</t>
  </si>
  <si>
    <t xml:space="preserve">Startup Funding
Share FY26 %</t>
  </si>
  <si>
    <t xml:space="preserve">Labour Force
(mn, approx.)</t>
  </si>
  <si>
    <t xml:space="preserve">Primary Source</t>
  </si>
  <si>
    <t xml:space="preserve">ST01</t>
  </si>
  <si>
    <t xml:space="preserve">West</t>
  </si>
  <si>
    <t xml:space="preserve">Mumbai</t>
  </si>
  <si>
    <t xml:space="preserve">Pune</t>
  </si>
  <si>
    <t xml:space="preserve">EV, Fintech, GCC hub</t>
  </si>
  <si>
    <t xml:space="preserve">Maharashtra EV &amp; semiconductor policy 2026 push</t>
  </si>
  <si>
    <t xml:space="preserve">Tier-1</t>
  </si>
  <si>
    <t xml:space="preserve">DPIIT FDI factsheet H1 FY26 / Drishti IAS</t>
  </si>
  <si>
    <t xml:space="preserve">ST02</t>
  </si>
  <si>
    <t xml:space="preserve">South</t>
  </si>
  <si>
    <t xml:space="preserve">Bengaluru</t>
  </si>
  <si>
    <t xml:space="preserve">Mysuru</t>
  </si>
  <si>
    <t xml:space="preserve">AI infra, GCC, Aerospace</t>
  </si>
  <si>
    <t xml:space="preserve">Karnataka GCC Policy 2.0 + Beyond Bengaluru push</t>
  </si>
  <si>
    <t xml:space="preserve">DPIIT FDI H1 FY26 (Drishti IAS, Oct-2025)</t>
  </si>
  <si>
    <t xml:space="preserve">ST03</t>
  </si>
  <si>
    <t xml:space="preserve">Ahmedabad</t>
  </si>
  <si>
    <t xml:space="preserve">Surat/Dholera</t>
  </si>
  <si>
    <t xml:space="preserve">Tata Semiconductor fab (Dholera, $11bn), Micron ATMP (Sanand, ₹22,500cr)</t>
  </si>
  <si>
    <t xml:space="preserve">Gujarat Semiconductor Policy; SEZ notified for Dholera (9-Apr-2026)</t>
  </si>
  <si>
    <t xml:space="preserve">BIS Infotech / IMARC Engineering, May-2026</t>
  </si>
  <si>
    <t xml:space="preserve">ST04</t>
  </si>
  <si>
    <t xml:space="preserve">Chennai</t>
  </si>
  <si>
    <t xml:space="preserve">Coimbatore</t>
  </si>
  <si>
    <t xml:space="preserve">EV manufacturing hub; Samsung, Foxconn, Flex electronics cluster</t>
  </si>
  <si>
    <t xml:space="preserve">TN Electronics &amp; EV component supplier ecosystem</t>
  </si>
  <si>
    <t xml:space="preserve">DPIIT H1 FY26; IMARC Semiconductor Site Selection, Apr-2026</t>
  </si>
  <si>
    <t xml:space="preserve">ST05</t>
  </si>
  <si>
    <t xml:space="preserve">Delhi-NCR (incl. Noida, Gurugram)</t>
  </si>
  <si>
    <t xml:space="preserve">North</t>
  </si>
  <si>
    <t xml:space="preserve">Gurugram</t>
  </si>
  <si>
    <t xml:space="preserve">Noida</t>
  </si>
  <si>
    <t xml:space="preserve">HCL-Foxconn display fab (Greater Noida); GCC &amp; fintech hub</t>
  </si>
  <si>
    <t xml:space="preserve">UP Semiconductor Policy 2024 (50% extra capital subsidy)</t>
  </si>
  <si>
    <t xml:space="preserve">Entrackr Q1-2026 funding report; IMARC, Apr-2026</t>
  </si>
  <si>
    <t xml:space="preserve">ST06</t>
  </si>
  <si>
    <t xml:space="preserve">Telangana</t>
  </si>
  <si>
    <t xml:space="preserve">Hyderabad</t>
  </si>
  <si>
    <t xml:space="preserve">Warangal</t>
  </si>
  <si>
    <t xml:space="preserve">Pharma &amp; API cluster ('Genome Valley'), GCC, life sciences</t>
  </si>
  <si>
    <t xml:space="preserve">Telangana Life Sciences &amp; AI policy push</t>
  </si>
  <si>
    <t xml:space="preserve">Naukri JobSpeak city splits; DPIIT sector data</t>
  </si>
  <si>
    <t xml:space="preserve">ST07</t>
  </si>
  <si>
    <t xml:space="preserve">Uttar Pradesh</t>
  </si>
  <si>
    <t xml:space="preserve">Lucknow</t>
  </si>
  <si>
    <t xml:space="preserve">HCL-Foxconn semicon ATMP (Jewar/Greater Noida)</t>
  </si>
  <si>
    <t xml:space="preserve">UP Defence &amp; Electronics Manufacturing corridors</t>
  </si>
  <si>
    <t xml:space="preserve">Tier-2</t>
  </si>
  <si>
    <t xml:space="preserve">IMARC Engineering, Apr-2026</t>
  </si>
  <si>
    <t xml:space="preserve">ST08</t>
  </si>
  <si>
    <t xml:space="preserve">Odisha</t>
  </si>
  <si>
    <t xml:space="preserve">East</t>
  </si>
  <si>
    <t xml:space="preserve">Bhubaneswar</t>
  </si>
  <si>
    <t xml:space="preserve">Rourkela</t>
  </si>
  <si>
    <t xml:space="preserve">India's first SiC fab — RIR Power Electronics, ₹618cr (Infovalley)</t>
  </si>
  <si>
    <t xml:space="preserve">Odisha single-window semiconductor facilitation</t>
  </si>
  <si>
    <t xml:space="preserve">IMARC Engineering, Apr-2026 — Odisha SiC fab approval</t>
  </si>
  <si>
    <t xml:space="preserve">ST09</t>
  </si>
  <si>
    <t xml:space="preserve">Andhra Pradesh</t>
  </si>
  <si>
    <t xml:space="preserve">Visakhapatnam</t>
  </si>
  <si>
    <t xml:space="preserve">Amaravati</t>
  </si>
  <si>
    <t xml:space="preserve">Emerging compound-semiconductor &amp; advanced packaging hub</t>
  </si>
  <si>
    <t xml:space="preserve">AP single-window clearance for semicon investment</t>
  </si>
  <si>
    <t xml:space="preserve">IMARC Engineering, May-2026</t>
  </si>
  <si>
    <t xml:space="preserve">ST10</t>
  </si>
  <si>
    <t xml:space="preserve">Haryana</t>
  </si>
  <si>
    <t xml:space="preserve">Faridabad</t>
  </si>
  <si>
    <t xml:space="preserve">Auto components, GCC satellite to NCR</t>
  </si>
  <si>
    <t xml:space="preserve">Haryana EV component manufacturing push</t>
  </si>
  <si>
    <t xml:space="preserve">DPIIT FDI data; Naukri hiring tiers</t>
  </si>
  <si>
    <t xml:space="preserve">ST11</t>
  </si>
  <si>
    <t xml:space="preserve">West Bengal</t>
  </si>
  <si>
    <t xml:space="preserve">Kolkata</t>
  </si>
  <si>
    <t xml:space="preserve">Durgapur</t>
  </si>
  <si>
    <t xml:space="preserve">BPO/ITES growth city; AI/ML hiring +33% YoY (May-2025 JobSpeak)</t>
  </si>
  <si>
    <t xml:space="preserve">WB industrial corridor &amp; logistics push</t>
  </si>
  <si>
    <t xml:space="preserve">Naukri JobSpeak May-2025 city AI/ML growth data</t>
  </si>
  <si>
    <t xml:space="preserve">ST12</t>
  </si>
  <si>
    <t xml:space="preserve">Rajasthan</t>
  </si>
  <si>
    <t xml:space="preserve">Jaipur</t>
  </si>
  <si>
    <t xml:space="preserve">Jodhpur</t>
  </si>
  <si>
    <t xml:space="preserve">Solar &amp; wind project pipeline; emerging Tier-2 hiring hub</t>
  </si>
  <si>
    <t xml:space="preserve">Rajasthan renewable energy policy 2026</t>
  </si>
  <si>
    <t xml:space="preserve">Naukri tier classification; renewable project pipeline</t>
  </si>
  <si>
    <t xml:space="preserve">ST13</t>
  </si>
  <si>
    <t xml:space="preserve">Madhya Pradesh</t>
  </si>
  <si>
    <t xml:space="preserve">Central</t>
  </si>
  <si>
    <t xml:space="preserve">Indore</t>
  </si>
  <si>
    <t xml:space="preserve">Bhopal</t>
  </si>
  <si>
    <t xml:space="preserve">Textile &amp; food-processing PLI beneficiary cluster</t>
  </si>
  <si>
    <t xml:space="preserve">MP industrial land bank policy</t>
  </si>
  <si>
    <t xml:space="preserve">PLISFPI applicant geography (Tribune, Apr-2026)</t>
  </si>
  <si>
    <t xml:space="preserve">ST14</t>
  </si>
  <si>
    <t xml:space="preserve">Punjab</t>
  </si>
  <si>
    <t xml:space="preserve">Ludhiana</t>
  </si>
  <si>
    <t xml:space="preserve">Mohali</t>
  </si>
  <si>
    <t xml:space="preserve">Food processing, textiles, IT-services satellite to Chandigarh</t>
  </si>
  <si>
    <t xml:space="preserve">Punjab industrial &amp; export-promotion policy</t>
  </si>
  <si>
    <t xml:space="preserve">PLISFPI project geography; state industrial data</t>
  </si>
  <si>
    <t xml:space="preserve">ST15</t>
  </si>
  <si>
    <t xml:space="preserve">Kerala</t>
  </si>
  <si>
    <t xml:space="preserve">Kochi</t>
  </si>
  <si>
    <t xml:space="preserve">Thiruvananthapuram</t>
  </si>
  <si>
    <t xml:space="preserve">IT/ITES, fintech, healthtech, gig-economy hub</t>
  </si>
  <si>
    <t xml:space="preserve">Kerala Startup Mission + GIFT-style fintech push</t>
  </si>
  <si>
    <t xml:space="preserve">State startup mission filings; Naukri tiering</t>
  </si>
  <si>
    <t xml:space="preserve">ST16</t>
  </si>
  <si>
    <t xml:space="preserve">Assam</t>
  </si>
  <si>
    <t xml:space="preserve">Northeast</t>
  </si>
  <si>
    <t xml:space="preserve">Guwahati</t>
  </si>
  <si>
    <t xml:space="preserve">Dibrugarh</t>
  </si>
  <si>
    <t xml:space="preserve">Semiconductor ATMP push (part of ISM 1.0 six-state cohort)</t>
  </si>
  <si>
    <t xml:space="preserve">Assam Semiconductor Policy incentives</t>
  </si>
  <si>
    <t xml:space="preserve">Tier-3</t>
  </si>
  <si>
    <t xml:space="preserve">Udyami Digital — ISM 1.0 six-state list, Mar-2026</t>
  </si>
  <si>
    <t xml:space="preserve">ST17</t>
  </si>
  <si>
    <t xml:space="preserve">Bihar</t>
  </si>
  <si>
    <t xml:space="preserve">Patna</t>
  </si>
  <si>
    <t xml:space="preserve">Gaya</t>
  </si>
  <si>
    <t xml:space="preserve">Food processing &amp; textile MSME growth corridor</t>
  </si>
  <si>
    <t xml:space="preserve">Bihar industrial investment promotion policy</t>
  </si>
  <si>
    <t xml:space="preserve">PLISFPI MSME beneficiary geography</t>
  </si>
  <si>
    <t xml:space="preserve">ST18</t>
  </si>
  <si>
    <t xml:space="preserve">Chhattisgarh</t>
  </si>
  <si>
    <t xml:space="preserve">Raipur</t>
  </si>
  <si>
    <t xml:space="preserve">Bhilai</t>
  </si>
  <si>
    <t xml:space="preserve">Steel, mining &amp; power generation cluster</t>
  </si>
  <si>
    <t xml:space="preserve">Speciality steel PLI beneficiary state</t>
  </si>
  <si>
    <t xml:space="preserve">PLI Speciality Steel scheme geography</t>
  </si>
  <si>
    <t xml:space="preserve">ST19</t>
  </si>
  <si>
    <t xml:space="preserve">Jharkhand</t>
  </si>
  <si>
    <t xml:space="preserve">Ranchi</t>
  </si>
  <si>
    <t xml:space="preserve">Jamshedpur</t>
  </si>
  <si>
    <t xml:space="preserve">Steel &amp; mining core-industry hiring</t>
  </si>
  <si>
    <t xml:space="preserve">Mining and metals capacity expansion</t>
  </si>
  <si>
    <t xml:space="preserve">PLI Speciality Steel; mining sector data</t>
  </si>
  <si>
    <t xml:space="preserve">ST20</t>
  </si>
  <si>
    <t xml:space="preserve">Uttarakhand</t>
  </si>
  <si>
    <t xml:space="preserve">Dehradun</t>
  </si>
  <si>
    <t xml:space="preserve">Haridwar</t>
  </si>
  <si>
    <t xml:space="preserve">Pharma &amp; auto-component manufacturing cluster</t>
  </si>
  <si>
    <t xml:space="preserve">Uttarakhand industrial incentive package</t>
  </si>
  <si>
    <t xml:space="preserve">State industrial policy filings</t>
  </si>
  <si>
    <t xml:space="preserve">ST21</t>
  </si>
  <si>
    <t xml:space="preserve">Punjab (Chandigarh UT)</t>
  </si>
  <si>
    <t xml:space="preserve">Chandigarh</t>
  </si>
  <si>
    <t xml:space="preserve">—</t>
  </si>
  <si>
    <t xml:space="preserve">IT-services &amp; GCC satellite cluster</t>
  </si>
  <si>
    <t xml:space="preserve">UT industrial promotion scheme</t>
  </si>
  <si>
    <t xml:space="preserve">Naukri city tiering</t>
  </si>
  <si>
    <t xml:space="preserve">ST22</t>
  </si>
  <si>
    <t xml:space="preserve">Goa</t>
  </si>
  <si>
    <t xml:space="preserve">Panaji</t>
  </si>
  <si>
    <t xml:space="preserve">Margao</t>
  </si>
  <si>
    <t xml:space="preserve">Pharma manufacturing, tourism &amp; hospitality hiring</t>
  </si>
  <si>
    <t xml:space="preserve">Goa industrial &amp; tourism investment policy</t>
  </si>
  <si>
    <t xml:space="preserve">State tourism &amp; industrial data</t>
  </si>
  <si>
    <t xml:space="preserve">ST23</t>
  </si>
  <si>
    <t xml:space="preserve">Jammu &amp; Kashmir</t>
  </si>
  <si>
    <t xml:space="preserve">Srinagar</t>
  </si>
  <si>
    <t xml:space="preserve">Jammu</t>
  </si>
  <si>
    <t xml:space="preserve">Emerging industrial-estate incentive zone</t>
  </si>
  <si>
    <t xml:space="preserve">UT industrial development scheme 2021</t>
  </si>
  <si>
    <t xml:space="preserve">UT industrial policy filings</t>
  </si>
  <si>
    <t xml:space="preserve">ST24</t>
  </si>
  <si>
    <t xml:space="preserve">Himachal Pradesh</t>
  </si>
  <si>
    <t xml:space="preserve">Shimla</t>
  </si>
  <si>
    <t xml:space="preserve">Baddi</t>
  </si>
  <si>
    <t xml:space="preserve">Pharma manufacturing hub (Baddi-Nalagarh belt)</t>
  </si>
  <si>
    <t xml:space="preserve">HP pharma cluster incentive scheme</t>
  </si>
  <si>
    <t xml:space="preserve">Pharma PLI beneficiary geography</t>
  </si>
  <si>
    <t xml:space="preserve">ST25</t>
  </si>
  <si>
    <t xml:space="preserve">Tripura</t>
  </si>
  <si>
    <t xml:space="preserve">Agartala</t>
  </si>
  <si>
    <t xml:space="preserve">Rubber &amp; agro-processing micro-cluster</t>
  </si>
  <si>
    <t xml:space="preserve">NE industrial development scheme</t>
  </si>
  <si>
    <t xml:space="preserve">NE region industrial data</t>
  </si>
  <si>
    <t xml:space="preserve">ST26</t>
  </si>
  <si>
    <t xml:space="preserve">Manipur</t>
  </si>
  <si>
    <t xml:space="preserve">Imphal</t>
  </si>
  <si>
    <t xml:space="preserve">Agro &amp; handloom micro-enterprise corridor</t>
  </si>
  <si>
    <t xml:space="preserve">ST27</t>
  </si>
  <si>
    <t xml:space="preserve">Meghalaya</t>
  </si>
  <si>
    <t xml:space="preserve">Shillong</t>
  </si>
  <si>
    <t xml:space="preserve">Cement &amp; mining micro-cluster</t>
  </si>
  <si>
    <t xml:space="preserve">ST28</t>
  </si>
  <si>
    <t xml:space="preserve">Nagaland</t>
  </si>
  <si>
    <t xml:space="preserve">Kohima</t>
  </si>
  <si>
    <t xml:space="preserve">Agro-processing micro-cluster</t>
  </si>
  <si>
    <t xml:space="preserve">ST29</t>
  </si>
  <si>
    <t xml:space="preserve">Sikkim</t>
  </si>
  <si>
    <t xml:space="preserve">Gangtok</t>
  </si>
  <si>
    <t xml:space="preserve">Pharma manufacturing (bulk-drug units)</t>
  </si>
  <si>
    <t xml:space="preserve">Sikkim pharma incentive zone</t>
  </si>
  <si>
    <t xml:space="preserve">ST30</t>
  </si>
  <si>
    <t xml:space="preserve">Puducherry</t>
  </si>
  <si>
    <t xml:space="preserve">Auto-component &amp; pharma satellite to TN cluster</t>
  </si>
  <si>
    <t xml:space="preserve">UT industrial incentive scheme</t>
  </si>
  <si>
    <t xml:space="preserve">ST31</t>
  </si>
  <si>
    <t xml:space="preserve">Other States/UTs (residual)</t>
  </si>
  <si>
    <t xml:space="preserve">Residual/aggregated smaller-state activity</t>
  </si>
  <si>
    <t xml:space="preserve">DPIIT residual balancing item</t>
  </si>
  <si>
    <t xml:space="preserve">Note: FDI share figures are equity-inflow shares for the cumulative period Oct-2019–Jun-2025 (state-wise data series begins Oct-2019 per DPIIT methodology). FY25-26 USD bn columns are this workbook's pro-rata estimate of the $58.85bn FY25-26 total (India Briefing, 2 weeks old) applied to each state's latest available share — recompute when DPIIT publishes the full FY26 state annexure.</t>
  </si>
  <si>
    <t xml:space="preserve">Investment &amp; Infrastructure Project Pipeline</t>
  </si>
  <si>
    <t xml:space="preserve">Real, named, dated investment approvals compiled from PIB, state single-window-clearance committees, and company disclosures (2025–2026)</t>
  </si>
  <si>
    <t xml:space="preserve">Project_ID</t>
  </si>
  <si>
    <t xml:space="preserve">Company / Project Name</t>
  </si>
  <si>
    <t xml:space="preserve">Sector</t>
  </si>
  <si>
    <t xml:space="preserve">City/District</t>
  </si>
  <si>
    <t xml:space="preserve">Announced /
Approved Date</t>
  </si>
  <si>
    <t xml:space="preserve">Investment
(₹ Crore)</t>
  </si>
  <si>
    <t xml:space="preserve">Direct Jobs
(Announced)</t>
  </si>
  <si>
    <t xml:space="preserve">Est. Indirect
Jobs (×multiplier)</t>
  </si>
  <si>
    <t xml:space="preserve">Total Jobs
(Direct+Indirect)</t>
  </si>
  <si>
    <t xml:space="preserve">Project Stage</t>
  </si>
  <si>
    <t xml:space="preserve">Expected Hiring
Start</t>
  </si>
  <si>
    <t xml:space="preserve">Confidence
(H/M/L)</t>
  </si>
  <si>
    <t xml:space="preserve">Source</t>
  </si>
  <si>
    <t xml:space="preserve">P001</t>
  </si>
  <si>
    <t xml:space="preserve">Tata Electronics Semiconductor Fab (with ASML)</t>
  </si>
  <si>
    <t xml:space="preserve">Semiconductors</t>
  </si>
  <si>
    <t xml:space="preserve">Dholera</t>
  </si>
  <si>
    <t xml:space="preserve">16-May-2026</t>
  </si>
  <si>
    <t xml:space="preserve">Under Construction</t>
  </si>
  <si>
    <t xml:space="preserve">Q4 2027</t>
  </si>
  <si>
    <t xml:space="preserve">H</t>
  </si>
  <si>
    <t xml:space="preserve">Tata-ASML agreement, BIS Infotech, May-2026; ~US$11bn investment</t>
  </si>
  <si>
    <t xml:space="preserve">P002</t>
  </si>
  <si>
    <t xml:space="preserve">Micron Technology ATMP Facility</t>
  </si>
  <si>
    <t xml:space="preserve">Sanand</t>
  </si>
  <si>
    <t xml:space="preserve">28-Feb-2026</t>
  </si>
  <si>
    <t xml:space="preserve">Operational (Inaugurated)</t>
  </si>
  <si>
    <t xml:space="preserve">Immediate</t>
  </si>
  <si>
    <t xml:space="preserve">PM Modi inauguration; Udyami Digital, Mar-2026</t>
  </si>
  <si>
    <t xml:space="preserve">P003</t>
  </si>
  <si>
    <t xml:space="preserve">Crystal Matrix Ltd – Compound Semicon Fab &amp; ATMP</t>
  </si>
  <si>
    <t xml:space="preserve">05-May-2026</t>
  </si>
  <si>
    <t xml:space="preserve">Approved</t>
  </si>
  <si>
    <t xml:space="preserve">12–18 months</t>
  </si>
  <si>
    <t xml:space="preserve">M</t>
  </si>
  <si>
    <t xml:space="preserve">MeitY approval; IMARC Engineering, May-2026</t>
  </si>
  <si>
    <t xml:space="preserve">P004</t>
  </si>
  <si>
    <t xml:space="preserve">Suchi Semicon Pvt Ltd – OSAT Facility</t>
  </si>
  <si>
    <t xml:space="preserve">Surat</t>
  </si>
  <si>
    <t xml:space="preserve">MeitY approval, 1,033mn chips/year; IMARC, May-2026</t>
  </si>
  <si>
    <t xml:space="preserve">P005</t>
  </si>
  <si>
    <t xml:space="preserve">HCL-Foxconn JV – Display Driver Chip ATMP</t>
  </si>
  <si>
    <t xml:space="preserve">Greater Noida (Jewar)</t>
  </si>
  <si>
    <t xml:space="preserve">2026 (ongoing)</t>
  </si>
  <si>
    <t xml:space="preserve">2027</t>
  </si>
  <si>
    <t xml:space="preserve">IMARC Engineering, Apr-2026; 36mn chips/month target</t>
  </si>
  <si>
    <t xml:space="preserve">P006</t>
  </si>
  <si>
    <t xml:space="preserve">Kaynes Semicon Pvt Ltd</t>
  </si>
  <si>
    <t xml:space="preserve">2025 (ongoing)</t>
  </si>
  <si>
    <t xml:space="preserve">Mid-2025 onward</t>
  </si>
  <si>
    <t xml:space="preserve">Blackridge Research, May-2026</t>
  </si>
  <si>
    <t xml:space="preserve">P007</t>
  </si>
  <si>
    <t xml:space="preserve">CG Power / CG Semi – OSAT (Renesas, Stars Micro JV)</t>
  </si>
  <si>
    <t xml:space="preserve">28-Aug-2025</t>
  </si>
  <si>
    <t xml:space="preserve">Operational (1st OSAT launched)</t>
  </si>
  <si>
    <t xml:space="preserve">P008</t>
  </si>
  <si>
    <t xml:space="preserve">RIR Power Electronics – India's first SiC Fab</t>
  </si>
  <si>
    <t xml:space="preserve">Bhubaneswar (Infovalley)</t>
  </si>
  <si>
    <t xml:space="preserve">Aug-2025</t>
  </si>
  <si>
    <t xml:space="preserve">12 months</t>
  </si>
  <si>
    <t xml:space="preserve">P009</t>
  </si>
  <si>
    <t xml:space="preserve">JSW Steel – Integrated Steel Plant Expansion</t>
  </si>
  <si>
    <t xml:space="preserve">Manufacturing – Steel</t>
  </si>
  <si>
    <t xml:space="preserve">Ballari</t>
  </si>
  <si>
    <t xml:space="preserve">13-Apr-2026</t>
  </si>
  <si>
    <t xml:space="preserve">6–12 months</t>
  </si>
  <si>
    <t xml:space="preserve">Deccan Herald, 13-Apr-2026</t>
  </si>
  <si>
    <t xml:space="preserve">P010</t>
  </si>
  <si>
    <t xml:space="preserve">Volvo Group India – Automobile Facility</t>
  </si>
  <si>
    <t xml:space="preserve">Automobiles</t>
  </si>
  <si>
    <t xml:space="preserve">Bengaluru North</t>
  </si>
  <si>
    <t xml:space="preserve">P011</t>
  </si>
  <si>
    <t xml:space="preserve">JSW JFE Electrical Steel Pvt Ltd</t>
  </si>
  <si>
    <t xml:space="preserve">Bengaluru region</t>
  </si>
  <si>
    <t xml:space="preserve">24-Oct-2025</t>
  </si>
  <si>
    <t xml:space="preserve">Careers360 / PTI, 24-Oct-2025</t>
  </si>
  <si>
    <t xml:space="preserve">P012</t>
  </si>
  <si>
    <t xml:space="preserve">SFX India Mfg Pvt Ltd</t>
  </si>
  <si>
    <t xml:space="preserve">Manufacturing</t>
  </si>
  <si>
    <t xml:space="preserve">L</t>
  </si>
  <si>
    <t xml:space="preserve">P013</t>
  </si>
  <si>
    <t xml:space="preserve">Vayu Assets Pvt Ltd</t>
  </si>
  <si>
    <t xml:space="preserve">Renewable Energy</t>
  </si>
  <si>
    <t xml:space="preserve">9–12 months</t>
  </si>
  <si>
    <t xml:space="preserve">P014</t>
  </si>
  <si>
    <t xml:space="preserve">Tejas Networks Ltd – Telecom Equipment Expansion</t>
  </si>
  <si>
    <t xml:space="preserve">Telecom Equipment</t>
  </si>
  <si>
    <t xml:space="preserve">6–9 months</t>
  </si>
  <si>
    <t xml:space="preserve">P015</t>
  </si>
  <si>
    <t xml:space="preserve">Reliance Consumer Products Ltd</t>
  </si>
  <si>
    <t xml:space="preserve">FMCG / Food Processing</t>
  </si>
  <si>
    <t xml:space="preserve">9 months</t>
  </si>
  <si>
    <t xml:space="preserve">P016</t>
  </si>
  <si>
    <t xml:space="preserve">HSS Textile Pvt Ltd</t>
  </si>
  <si>
    <t xml:space="preserve">Textiles</t>
  </si>
  <si>
    <t xml:space="preserve">P017</t>
  </si>
  <si>
    <t xml:space="preserve">Bagmane Constructions – IT Infrastructure Park</t>
  </si>
  <si>
    <t xml:space="preserve">IT Infrastructure / Real Estate</t>
  </si>
  <si>
    <t xml:space="preserve">14-Mar-2026</t>
  </si>
  <si>
    <t xml:space="preserve">Business Standard, 14-Mar-2026</t>
  </si>
  <si>
    <t xml:space="preserve">P018</t>
  </si>
  <si>
    <t xml:space="preserve">Karnataka Bangaru Sugars Pvt Ltd</t>
  </si>
  <si>
    <t xml:space="preserve">Vijayapura/Bagalkote belt</t>
  </si>
  <si>
    <t xml:space="preserve">P019</t>
  </si>
  <si>
    <t xml:space="preserve">Kleine Pax Ltd – Technical Textile Unit</t>
  </si>
  <si>
    <t xml:space="preserve">P020</t>
  </si>
  <si>
    <t xml:space="preserve">Tsuyo Manufacturing – EV Motor &amp; Controller Unit</t>
  </si>
  <si>
    <t xml:space="preserve">EV Components</t>
  </si>
  <si>
    <t xml:space="preserve">P021</t>
  </si>
  <si>
    <t xml:space="preserve">Trishul Buildtech – Five-Star Hotel Project</t>
  </si>
  <si>
    <t xml:space="preserve">Hospitality</t>
  </si>
  <si>
    <t xml:space="preserve">P022</t>
  </si>
  <si>
    <t xml:space="preserve">Adani Enterprises – Coal Gasification &amp; Derivatives</t>
  </si>
  <si>
    <t xml:space="preserve">Core Industry / Chemicals</t>
  </si>
  <si>
    <t xml:space="preserve">Nagpur</t>
  </si>
  <si>
    <t xml:space="preserve">27-May-2026</t>
  </si>
  <si>
    <t xml:space="preserve">Final Stages / Land Acquired</t>
  </si>
  <si>
    <t xml:space="preserve">18–24 months</t>
  </si>
  <si>
    <t xml:space="preserve">Deccan Chronicle, ~3 weeks old (late-May 2026)</t>
  </si>
  <si>
    <t xml:space="preserve">P023</t>
  </si>
  <si>
    <t xml:space="preserve">Graphite India Ltd – Synthetic Graphite Anode (Li-ion)</t>
  </si>
  <si>
    <t xml:space="preserve">Battery / EV Components</t>
  </si>
  <si>
    <t xml:space="preserve">Nashik</t>
  </si>
  <si>
    <t xml:space="preserve">Deccan Chronicle, late-May 2026</t>
  </si>
  <si>
    <t xml:space="preserve">P024</t>
  </si>
  <si>
    <t xml:space="preserve">HS Hyosung India – Tyre Cord Manufacturing Plant</t>
  </si>
  <si>
    <t xml:space="preserve">Auto Components</t>
  </si>
  <si>
    <t xml:space="preserve">P025</t>
  </si>
  <si>
    <t xml:space="preserve">Maharashtra High-Tech Mega Projects (5-project basket)</t>
  </si>
  <si>
    <t xml:space="preserve">Mixed – Coal Gasification/Solar/Steel/Graphite</t>
  </si>
  <si>
    <t xml:space="preserve">Vidarbha/Marathwada/Nashik</t>
  </si>
  <si>
    <t xml:space="preserve">12–24 months</t>
  </si>
  <si>
    <t xml:space="preserve">Deccan Chronicle, late-May 2026 — aggregate basket incl. P022–P024</t>
  </si>
  <si>
    <t xml:space="preserve">P026</t>
  </si>
  <si>
    <t xml:space="preserve">Maharashtra Thrust-Sector Mega/Ultra-Mega Basket (19 proposals, 17 approved)</t>
  </si>
  <si>
    <t xml:space="preserve">Mixed – High-Tech Industrial</t>
  </si>
  <si>
    <t xml:space="preserve">Statewide</t>
  </si>
  <si>
    <t xml:space="preserve">03-Jul-2025</t>
  </si>
  <si>
    <t xml:space="preserve">News on Air / PIB-style release, Jul-2025</t>
  </si>
  <si>
    <t xml:space="preserve">P027</t>
  </si>
  <si>
    <t xml:space="preserve">Tata Semiconductor SEZ Notification – Dholera</t>
  </si>
  <si>
    <t xml:space="preserve">Semiconductors / SEZ Infra</t>
  </si>
  <si>
    <t xml:space="preserve">09-Apr-2026</t>
  </si>
  <si>
    <t xml:space="preserve">Regulatory Milestone (SEZ Notified)</t>
  </si>
  <si>
    <t xml:space="preserve">Enables P001</t>
  </si>
  <si>
    <t xml:space="preserve">BIS Infotech, May-2026</t>
  </si>
  <si>
    <t xml:space="preserve">P028</t>
  </si>
  <si>
    <t xml:space="preserve">HCL-Foxconn UP Semiconductor Policy Incentive Package</t>
  </si>
  <si>
    <t xml:space="preserve">Policy / Semiconductors</t>
  </si>
  <si>
    <t xml:space="preserve">2024 (ongoing)</t>
  </si>
  <si>
    <t xml:space="preserve">Policy in force</t>
  </si>
  <si>
    <t xml:space="preserve">Ongoing</t>
  </si>
  <si>
    <t xml:space="preserve">IMARC Engineering, Apr-2026 — 50% extra capital subsidy</t>
  </si>
  <si>
    <t xml:space="preserve">P029</t>
  </si>
  <si>
    <t xml:space="preserve">Karnataka Clean Mobility Policy – EV Value Chain</t>
  </si>
  <si>
    <t xml:space="preserve">EV / Policy Programme</t>
  </si>
  <si>
    <t xml:space="preserve">Feb-2026</t>
  </si>
  <si>
    <t xml:space="preserve">Policy Launched</t>
  </si>
  <si>
    <t xml:space="preserve">24+ months (phased)</t>
  </si>
  <si>
    <t xml:space="preserve">Deccan Herald, Invest Karnataka GIM coverage</t>
  </si>
  <si>
    <t xml:space="preserve">P030</t>
  </si>
  <si>
    <t xml:space="preserve">Karnataka Industrial Policy – Statewide Job Target</t>
  </si>
  <si>
    <t xml:space="preserve">Policy / Multi-sector</t>
  </si>
  <si>
    <t xml:space="preserve">Policy Launched (Investor Commitments at GIM)</t>
  </si>
  <si>
    <t xml:space="preserve">Deccan Herald — Invest Karnataka 2025 GIM, MB Patil statement</t>
  </si>
  <si>
    <t xml:space="preserve">P031</t>
  </si>
  <si>
    <t xml:space="preserve">PLI Electronics &amp; Mobile Manufacturing (cumulative)</t>
  </si>
  <si>
    <t xml:space="preserve">Electronics</t>
  </si>
  <si>
    <t xml:space="preserve">Multi-state (TN, UP, Karnataka, Gujarat)</t>
  </si>
  <si>
    <t xml:space="preserve">Multiple</t>
  </si>
  <si>
    <t xml:space="preserve">Ongoing (PLI FY21–26)</t>
  </si>
  <si>
    <t xml:space="preserve">Operational / Ongoing</t>
  </si>
  <si>
    <t xml:space="preserve">PIB PRID=2230621, Dec-2025 — part of 14.39L PLI jobs</t>
  </si>
  <si>
    <t xml:space="preserve">P032</t>
  </si>
  <si>
    <t xml:space="preserve">PLI Food Processing (165 approved applications)</t>
  </si>
  <si>
    <t xml:space="preserve">Multi-state</t>
  </si>
  <si>
    <t xml:space="preserve">274 project locations</t>
  </si>
  <si>
    <t xml:space="preserve">Ongoing (PLI FY21–27)</t>
  </si>
  <si>
    <t xml:space="preserve">Tribune/ANI, 21-Apr-2026 — PLISFPI cumulative</t>
  </si>
  <si>
    <t xml:space="preserve">P033</t>
  </si>
  <si>
    <t xml:space="preserve">PLI Automobile &amp; Auto Components (cumulative)</t>
  </si>
  <si>
    <t xml:space="preserve">Automobiles / EV</t>
  </si>
  <si>
    <t xml:space="preserve">Arthneeti Global, Mar-2026 — ₹32,879cr FY25-26 sales</t>
  </si>
  <si>
    <t xml:space="preserve">P034</t>
  </si>
  <si>
    <t xml:space="preserve">Karnataka–Japan/Korea Investment Commitments</t>
  </si>
  <si>
    <t xml:space="preserve">Manufacturing / Mixed</t>
  </si>
  <si>
    <t xml:space="preserve">Location TBD</t>
  </si>
  <si>
    <t xml:space="preserve">2025</t>
  </si>
  <si>
    <t xml:space="preserve">MoU Stage</t>
  </si>
  <si>
    <t xml:space="preserve">Deccan Herald — Osaka Gas, DN Solutions, Aoyama Seisakusho MoUs</t>
  </si>
  <si>
    <t xml:space="preserve">P035</t>
  </si>
  <si>
    <t xml:space="preserve">DN Solutions – Precision Tools Manufacturing</t>
  </si>
  <si>
    <t xml:space="preserve">Machine Tools</t>
  </si>
  <si>
    <t xml:space="preserve">18 months</t>
  </si>
  <si>
    <t xml:space="preserve">Deccan Herald — part of P034 basket</t>
  </si>
  <si>
    <t xml:space="preserve">P036</t>
  </si>
  <si>
    <t xml:space="preserve">Osaka Gas – Gas Distribution Infrastructure Expansion</t>
  </si>
  <si>
    <t xml:space="preserve">Energy Infrastructure</t>
  </si>
  <si>
    <t xml:space="preserve">P037</t>
  </si>
  <si>
    <t xml:space="preserve">Tejas Networks / Telecom PLI Linked Expansion</t>
  </si>
  <si>
    <t xml:space="preserve">2025–2026</t>
  </si>
  <si>
    <t xml:space="preserve">PLI telecom scheme + Careers360, Oct-2025</t>
  </si>
  <si>
    <t xml:space="preserve">P038</t>
  </si>
  <si>
    <t xml:space="preserve">Erisha E-Mobility – EV Manufacturing Scale-up</t>
  </si>
  <si>
    <t xml:space="preserve">EV Mobility</t>
  </si>
  <si>
    <t xml:space="preserve">HQ Delhi-NCR; plants multi-state</t>
  </si>
  <si>
    <t xml:space="preserve">Funded / Scaling</t>
  </si>
  <si>
    <t xml:space="preserve">Newskart Startup Funding Report — $1.0bn raised, Mar-2026</t>
  </si>
  <si>
    <t xml:space="preserve">P039</t>
  </si>
  <si>
    <t xml:space="preserve">GreenLine – EV Logistics Fleet Expansion</t>
  </si>
  <si>
    <t xml:space="preserve">EV Mobility / Logistics</t>
  </si>
  <si>
    <t xml:space="preserve">Multi-city</t>
  </si>
  <si>
    <t xml:space="preserve">Newskart Startup Funding Report — $275mn raised</t>
  </si>
  <si>
    <t xml:space="preserve">P040</t>
  </si>
  <si>
    <t xml:space="preserve">Euler Motors – Commercial EV Manufacturing</t>
  </si>
  <si>
    <t xml:space="preserve">Delhi-NCR HQ</t>
  </si>
  <si>
    <t xml:space="preserve">25-Mar-2026</t>
  </si>
  <si>
    <t xml:space="preserve">Newskart — ₹437.5cr raised, 25-Mar-2026</t>
  </si>
  <si>
    <t xml:space="preserve">P041</t>
  </si>
  <si>
    <t xml:space="preserve">Neysa – AI Infrastructure Platform Scale-up</t>
  </si>
  <si>
    <t xml:space="preserve">AI Infrastructure</t>
  </si>
  <si>
    <t xml:space="preserve">Q1 2026</t>
  </si>
  <si>
    <t xml:space="preserve">Entrackr Q1-2026 Funding Report — $1.2bn Series B</t>
  </si>
  <si>
    <t xml:space="preserve">P042</t>
  </si>
  <si>
    <t xml:space="preserve">Weaver Services – Affordable Housing Finance Expansion</t>
  </si>
  <si>
    <t xml:space="preserve">Fintech / Housing Finance</t>
  </si>
  <si>
    <t xml:space="preserve">Entrackr Q1-2026 Funding Report — $156mn raised</t>
  </si>
  <si>
    <t xml:space="preserve">P043</t>
  </si>
  <si>
    <t xml:space="preserve">Rocketlane – Enterprise SaaS Scale-up</t>
  </si>
  <si>
    <t xml:space="preserve">SaaS</t>
  </si>
  <si>
    <t xml:space="preserve">6 months</t>
  </si>
  <si>
    <t xml:space="preserve">Entrackr Q1-2026 Funding Report — $60mn raised</t>
  </si>
  <si>
    <t xml:space="preserve">P044</t>
  </si>
  <si>
    <t xml:space="preserve">Juspay – Fintech Infra Expansion</t>
  </si>
  <si>
    <t xml:space="preserve">Fintech</t>
  </si>
  <si>
    <t xml:space="preserve">Entrackr Q1-2026 Funding Report — $50mn raised</t>
  </si>
  <si>
    <t xml:space="preserve">P045</t>
  </si>
  <si>
    <t xml:space="preserve">The Whole Truth – Clean-Label FMCG Scale-up</t>
  </si>
  <si>
    <t xml:space="preserve">FMCG</t>
  </si>
  <si>
    <t xml:space="preserve">Entrackr Q1-2026 Funding Report — $51mn raised</t>
  </si>
  <si>
    <t xml:space="preserve">P046</t>
  </si>
  <si>
    <t xml:space="preserve">Arya.ag – Agritech Platform Expansion</t>
  </si>
  <si>
    <t xml:space="preserve">Entrackr Q1-2026 Funding Report — $80.3mn raised</t>
  </si>
  <si>
    <t xml:space="preserve">P047</t>
  </si>
  <si>
    <t xml:space="preserve">India Semiconductor Mission 2.0 – Equipment &amp; Materials</t>
  </si>
  <si>
    <t xml:space="preserve">Semiconductors / Policy</t>
  </si>
  <si>
    <t xml:space="preserve">Pan-India</t>
  </si>
  <si>
    <t xml:space="preserve">Budget 2026-27</t>
  </si>
  <si>
    <t xml:space="preserve">Policy Launched (Budget Allocation)</t>
  </si>
  <si>
    <t xml:space="preserve">BIS Infotech, Apr-2026 — largest single-year ISM outlay</t>
  </si>
  <si>
    <t xml:space="preserve">P048</t>
  </si>
  <si>
    <t xml:space="preserve">Odisha &amp; Andhra Pradesh Single-Window Semicon Facilitation</t>
  </si>
  <si>
    <t xml:space="preserve">Odisha, Andhra Pradesh</t>
  </si>
  <si>
    <t xml:space="preserve">Bhubaneswar, Visakhapatnam</t>
  </si>
  <si>
    <t xml:space="preserve">TOTAL — TRACKED PIPELINE</t>
  </si>
  <si>
    <t xml:space="preserve">FDI Inflow Tracker</t>
  </si>
  <si>
    <t xml:space="preserve">Source: DPIIT (Department for Promotion of Industry and Internal Trade) FDI Factsheets, RBI-reconciled data</t>
  </si>
  <si>
    <t xml:space="preserve">A. FINANCIAL-YEAR-WISE TOTAL FDI INFLOW (USD Billion)</t>
  </si>
  <si>
    <t xml:space="preserve">Financial Year</t>
  </si>
  <si>
    <t xml:space="preserve">Total FDI Inflow
(US$ Bn)</t>
  </si>
  <si>
    <t xml:space="preserve">YoY Change %</t>
  </si>
  <si>
    <t xml:space="preserve">Cumulative Since
Apr-2000 (US$ Tn)</t>
  </si>
  <si>
    <t xml:space="preserve">FY 2020-21</t>
  </si>
  <si>
    <t xml:space="preserve">FY 2021-22</t>
  </si>
  <si>
    <t xml:space="preserve">FY 2024-25</t>
  </si>
  <si>
    <t xml:space="preserve">FY 2025-26</t>
  </si>
  <si>
    <t xml:space="preserve">Cumulative Apr-2000–Mar-2026</t>
  </si>
  <si>
    <t xml:space="preserve">Note: FY26 figure (US$58.85bn) reflects 18% YoY increase per DPIIT; FY25 total of $81.04bn also separately reported via PIB. Some sources show H1 FY26 (Apr-Sep 2025) at $35.2bn, +18% YoY vs $29.8bn H1 FY25.</t>
  </si>
  <si>
    <t xml:space="preserve">B. STATE-WISE FDI EQUITY INFLOW SHARE — H1 FY26 (Apr–Sep 2025)</t>
  </si>
  <si>
    <t xml:space="preserve">Share of Cumulative
FDI Equity %</t>
  </si>
  <si>
    <t xml:space="preserve">Approx. USD
(H1 FY26, Bn)</t>
  </si>
  <si>
    <t xml:space="preserve">Others (residual)</t>
  </si>
  <si>
    <t xml:space="preserve">Source: Drishti IAS 'FDI Trends in India' citing DPIIT H1 FY26 data (Maharashtra ~30% share; Karnataka US$9.4bn; Tamil Nadu US$3.6bn; Gujarat 6.4% share).</t>
  </si>
  <si>
    <t xml:space="preserve">C. SECTOR-WISE CUMULATIVE FDI EQUITY INFLOW (Apr-2000 to Dec-2025)</t>
  </si>
  <si>
    <t xml:space="preserve">Share of Cumulative
Equity Inflow %</t>
  </si>
  <si>
    <t xml:space="preserve">Approx. ₹ Crore
(cumulative)</t>
  </si>
  <si>
    <t xml:space="preserve">Approx. US$ Bn
(cumulative)</t>
  </si>
  <si>
    <t xml:space="preserve">Services Sector</t>
  </si>
  <si>
    <t xml:space="preserve">Computer Software &amp; Hardware</t>
  </si>
  <si>
    <t xml:space="preserve">Trading</t>
  </si>
  <si>
    <t xml:space="preserve">Telecommunications</t>
  </si>
  <si>
    <t xml:space="preserve">Automobile Industry</t>
  </si>
  <si>
    <t xml:space="preserve">Construction &amp; Infrastructure</t>
  </si>
  <si>
    <t xml:space="preserve">Others</t>
  </si>
  <si>
    <t xml:space="preserve">Source: IBEF 'Foreign Direct Investment in India' (data as of 19-May-2026), citing DPIIT — cumulative FDI of US$1.14tn between Apr-2000–Dec-2025; services &amp; computer software/hardware each 16% share.</t>
  </si>
  <si>
    <t xml:space="preserve">D. TOP INVESTING COUNTRIES — H1 FY26 (Apr–Sep 2025)</t>
  </si>
  <si>
    <t xml:space="preserve">Country</t>
  </si>
  <si>
    <t xml:space="preserve">Share %</t>
  </si>
  <si>
    <t xml:space="preserve">USD Bn (H1 FY26)</t>
  </si>
  <si>
    <t xml:space="preserve">Singapore</t>
  </si>
  <si>
    <t xml:space="preserve">United States</t>
  </si>
  <si>
    <t xml:space="preserve">Mauritius</t>
  </si>
  <si>
    <t xml:space="preserve">Source: Drishti IAS, citing DPIIT — H1 FY26 FDI inflow of US$35.2bn, +18% YoY; Singapore led with US$12bn (34%), followed by US (US$6.6bn) and Mauritius (US$3.5bn).</t>
  </si>
  <si>
    <t xml:space="preserve">Production-Linked Incentive (PLI) Scheme Tracker — 14 Sectors</t>
  </si>
  <si>
    <t xml:space="preserve">Source: PIB Press Release PRID=2230621 (data as on 31-Dec-2025) + sector-specific releases (Tribune/ANI Apr-2026, Arthneeti Mar-2026)</t>
  </si>
  <si>
    <t xml:space="preserve">NATIONAL PLI SUMMARY (as on 31-Dec-2025)</t>
  </si>
  <si>
    <t xml:space="preserve">Metric</t>
  </si>
  <si>
    <t xml:space="preserve">Value</t>
  </si>
  <si>
    <t xml:space="preserve">Unit</t>
  </si>
  <si>
    <t xml:space="preserve">Total Incentive Outlay</t>
  </si>
  <si>
    <t xml:space="preserve">₹ Crore</t>
  </si>
  <si>
    <t xml:space="preserve">Approved Applications</t>
  </si>
  <si>
    <t xml:space="preserve">Count</t>
  </si>
  <si>
    <t xml:space="preserve">Sectors Covered</t>
  </si>
  <si>
    <t xml:space="preserve">Cumulative Investment</t>
  </si>
  <si>
    <t xml:space="preserve">Cumulative Sales/Production</t>
  </si>
  <si>
    <t xml:space="preserve">Cumulative Exports</t>
  </si>
  <si>
    <t xml:space="preserve">Total Direct + Indirect Jobs</t>
  </si>
  <si>
    <t xml:space="preserve">Jobs</t>
  </si>
  <si>
    <t xml:space="preserve">Incentive Disbursed</t>
  </si>
  <si>
    <t xml:space="preserve">Source: PIB PRID=2230621, 'Production Linked Incentive Scheme with ₹1.91 Lakh Crore Outlay...' — figures as on 31-Dec-2025. (https://www.pib.gov.in/PressReleasePage.aspx?PRID=2230621)</t>
  </si>
  <si>
    <t xml:space="preserve">SECTOR-WISE PLI PERFORMANCE</t>
  </si>
  <si>
    <t xml:space="preserve">Nodal Ministry</t>
  </si>
  <si>
    <t xml:space="preserve">Outlay
(₹ Cr, approx. share)</t>
  </si>
  <si>
    <t xml:space="preserve">Investment
Reported (₹ Cr)</t>
  </si>
  <si>
    <t xml:space="preserve">Jobs Created
(Direct+Indirect)</t>
  </si>
  <si>
    <t xml:space="preserve">Jobs Share of
National Total</t>
  </si>
  <si>
    <t xml:space="preserve">Target Jobs
(by scheme end)</t>
  </si>
  <si>
    <t xml:space="preserve">% of Target
Achieved</t>
  </si>
  <si>
    <t xml:space="preserve">Notes</t>
  </si>
  <si>
    <t xml:space="preserve">Large Scale Electronics &amp; IT Hardware</t>
  </si>
  <si>
    <t xml:space="preserve">MeitY</t>
  </si>
  <si>
    <t xml:space="preserve">Largest PLI sector by production value; mobile manufacturing anchor. Source: PIB Dec-2025; sector elec. production ₹5.25-5.45L cr FY25 (RealShePower, May-2026).</t>
  </si>
  <si>
    <t xml:space="preserve">Food Processing (PLISFPI)</t>
  </si>
  <si>
    <t xml:space="preserve">Ministry of Food Processing</t>
  </si>
  <si>
    <t xml:space="preserve">165 approved applications, 274 project locations; target of 2.5L jobs by FY27 already surpassed. Source: Tribune/ANI, 21-Apr-2026.</t>
  </si>
  <si>
    <t xml:space="preserve">Automobile &amp; Auto Components</t>
  </si>
  <si>
    <t xml:space="preserve">Ministry of Heavy Industries</t>
  </si>
  <si>
    <t xml:space="preserve">FY25-26 sales ₹32,879cr; EV/advanced-auto focus. Source: Arthneeti, Mar-2026.</t>
  </si>
  <si>
    <t xml:space="preserve">Pharmaceuticals (incl. Bulk Drugs/KSM/API)</t>
  </si>
  <si>
    <t xml:space="preserve">Dept. of Pharmaceuticals</t>
  </si>
  <si>
    <t xml:space="preserve">Reduces API import dependency; PIB Dec-2025 cumulative figures.</t>
  </si>
  <si>
    <t xml:space="preserve">Textiles (incl. MMF &amp; Technical Textiles)</t>
  </si>
  <si>
    <t xml:space="preserve">Ministry of Textiles</t>
  </si>
  <si>
    <t xml:space="preserve">Labour-intensive scheme; strong MSME linkage with PM MITRA parks.</t>
  </si>
  <si>
    <t xml:space="preserve">Telecom &amp; Networking Products</t>
  </si>
  <si>
    <t xml:space="preserve">DoT</t>
  </si>
  <si>
    <t xml:space="preserve">Exports ₹21,033cr FY25-26; import substitution in network gear. Source: Arthneeti, Mar-2026.</t>
  </si>
  <si>
    <t xml:space="preserve">White Goods (AC &amp; LED Components)</t>
  </si>
  <si>
    <t xml:space="preserve">DPIIT</t>
  </si>
  <si>
    <t xml:space="preserve">Component-level localisation for AC compressors and LED drivers.</t>
  </si>
  <si>
    <t xml:space="preserve">Ministry of Steel</t>
  </si>
  <si>
    <t xml:space="preserve">Capital-intensive; import-substitution for high-grade steel.</t>
  </si>
  <si>
    <t xml:space="preserve">Advanced Chemistry Cell (ACC) Battery</t>
  </si>
  <si>
    <t xml:space="preserve">MoHI/MNRE</t>
  </si>
  <si>
    <t xml:space="preserve">Underpins EV and grid-storage battery localisation; long gestation.</t>
  </si>
  <si>
    <t xml:space="preserve">Solar PV Modules (High-Efficiency)</t>
  </si>
  <si>
    <t xml:space="preserve">MNRE</t>
  </si>
  <si>
    <t xml:space="preserve">Manufacturing capacity build-up tracks renewable energy capex cycle.</t>
  </si>
  <si>
    <t xml:space="preserve">Drones &amp; Drone Components</t>
  </si>
  <si>
    <t xml:space="preserve">Ministry of Civil Aviation</t>
  </si>
  <si>
    <t xml:space="preserve">Smallest-outlay scheme; fastest YoY hiring growth (+12%) among PLI sectors.</t>
  </si>
  <si>
    <t xml:space="preserve">Import substitution for diagnostics and surgical devices.</t>
  </si>
  <si>
    <t xml:space="preserve">Semiconductors &amp; Display (ISM, adjacent)</t>
  </si>
  <si>
    <t xml:space="preserve">Capital-intensive; jobs lag investment due to long gestation (12-24 months to hiring).</t>
  </si>
  <si>
    <t xml:space="preserve">National Programme — KSM/Drug Intermediates</t>
  </si>
  <si>
    <t xml:space="preserve">Focused on critical starting materials for bulk drug self-sufficiency.</t>
  </si>
  <si>
    <t xml:space="preserve">TOTAL (sector apportionment — reconciles to national figure)</t>
  </si>
  <si>
    <t xml:space="preserve">Methodology note: The national totals (outlay ₹1.91L cr, investment ₹2.16L cr, jobs 14.39L) are the verified PIB figures as on 31-Dec-2025. Sector-level investment/job splits below are this workbook's apportionment using each scheme's individually-published figures where available (Food Processing: PLISFPI exact figures from Tribune/Apr-2026; Automobile: Arthneeti Mar-2026; Semiconductors: ISM-linked, IMARC/BIS Infotech) and pro-rata estimation elsewhere, calibrated so sector sums reconcile to the national total. Re-run with each ministry's individual sector dashboard for audit-grade precision.</t>
  </si>
  <si>
    <t xml:space="preserve">Startup Funding Tracker</t>
  </si>
  <si>
    <t xml:space="preserve">Source: Tracxn India Tech Annual Funding Report 2026 (8-Apr-2026); Entrackr Q1-2026 Funding Report (2-Apr-2026)</t>
  </si>
  <si>
    <t xml:space="preserve">A. FY-WISE TOTAL STARTUP FUNDING (India Tech)</t>
  </si>
  <si>
    <t xml:space="preserve">Total Funding
(US$ Bn)</t>
  </si>
  <si>
    <t xml:space="preserve">Early-Stage
(US$ Bn)</t>
  </si>
  <si>
    <t xml:space="preserve">Late-Stage
(US$ Bn)</t>
  </si>
  <si>
    <t xml:space="preserve">FY 2023-24</t>
  </si>
  <si>
    <t xml:space="preserve">Source: Tracxn India Tech Annual Funding Report 2026 via Analytics Insight, 9-Apr-2026: FY26 funding $11.7bn (-18% YoY); early-stage $4.8bn (+33% YoY); late-stage $5.6bn (-38% YoY).</t>
  </si>
  <si>
    <t xml:space="preserve">B. SECTOR-WISE FUNDING — FY 2025-26</t>
  </si>
  <si>
    <t xml:space="preserve">FY26 Funding
(US$ Bn)</t>
  </si>
  <si>
    <t xml:space="preserve">FY25 Funding
(US$ Bn)</t>
  </si>
  <si>
    <t xml:space="preserve">YoY %</t>
  </si>
  <si>
    <t xml:space="preserve">Implied Jobs
(funding × jobs/$mn)</t>
  </si>
  <si>
    <t xml:space="preserve">Enterprise Applications / SaaS</t>
  </si>
  <si>
    <t xml:space="preserve">Top-funded sector, unchanged YoY but +23% vs FY24 (Startup Point, Apr-2026).</t>
  </si>
  <si>
    <t xml:space="preserve">14% YoY increase; sustained compliance-led growth (Startup Point, Apr-2026).</t>
  </si>
  <si>
    <t xml:space="preserve">AI Infrastructure / Deeptech</t>
  </si>
  <si>
    <t xml:space="preserve">Anchored by Neysa's $1.2bn Series B, largest single round of Q1-2026 (Entrackr).</t>
  </si>
  <si>
    <t xml:space="preserve">Erisha E-Mobility $1.0bn, GreenLine $275mn, Euler Motors ₹437.5cr (Newskart, Mar-2026).</t>
  </si>
  <si>
    <t xml:space="preserve">Healthtech</t>
  </si>
  <si>
    <t xml:space="preserve">$290.3mn across 35 deals in Q1-2026 alone (Entrackr).</t>
  </si>
  <si>
    <t xml:space="preserve">E-commerce / Quick Commerce</t>
  </si>
  <si>
    <t xml:space="preserve">44 deals, $188mn in Q1-2026; growth moderating from peak (Entrackr).</t>
  </si>
  <si>
    <t xml:space="preserve">Arya.ag's $80.3mn anchors sector (Entrackr, Apr-2026).</t>
  </si>
  <si>
    <t xml:space="preserve">Other / Diversified</t>
  </si>
  <si>
    <t xml:space="preserve">Includes one-off large late-stage rounds in prior year not repeated.</t>
  </si>
  <si>
    <t xml:space="preserve">C. CITY-WISE FUNDING SHARE — Q1 2026</t>
  </si>
  <si>
    <t xml:space="preserve">City</t>
  </si>
  <si>
    <t xml:space="preserve">Deals (Count)</t>
  </si>
  <si>
    <t xml:space="preserve">Funding (US$ Mn)</t>
  </si>
  <si>
    <t xml:space="preserve">Avg. Deal Size
(US$ Mn)</t>
  </si>
  <si>
    <t xml:space="preserve">Led by Neysa's $1.2bn round; high value, lower deal count (Entrackr, Apr-2026).</t>
  </si>
  <si>
    <t xml:space="preserve">Highest deal volume nationally — broad-based early-stage activity.</t>
  </si>
  <si>
    <t xml:space="preserve">Second-highest deal count; fintech &amp; enterprise-software concentration.</t>
  </si>
  <si>
    <t xml:space="preserve">Smaller base but EV/manufacturing-linked startup activity growing.</t>
  </si>
  <si>
    <t xml:space="preserve">Life-sciences and healthtech-leaning startup base.</t>
  </si>
  <si>
    <t xml:space="preserve">Other cities</t>
  </si>
  <si>
    <t xml:space="preserve">Residual — Pune, Ahmedabad, Kolkata, Jaipur and emerging hubs.</t>
  </si>
  <si>
    <t xml:space="preserve">Source: Entrackr 'Indian startup funding climbs to nearly $4 Bn in Q1 2026' (2-Apr-2026) — Mumbai $1.64bn/36 deals (42.4%); Bengaluru $1.21bn/166 deals (31.2%); Delhi-NCR $631.6mn/89 deals (16.3%); Hyderabad $79.5mn/16 deals; Chennai $125.7mn/11 deals.</t>
  </si>
  <si>
    <t xml:space="preserve">Vacancy Gap Analysis — Demand vs. Supply by Sector × State</t>
  </si>
  <si>
    <t xml:space="preserve">Open vacancies (current demand) vs. talent supply pipeline vs. net hiring gap — the core sheet driving alerts &amp; forecasts</t>
  </si>
  <si>
    <t xml:space="preserve">Current Open
Vacancies (est.)</t>
  </si>
  <si>
    <t xml:space="preserve">New Vacancies from
Pipeline (12-mo)</t>
  </si>
  <si>
    <t xml:space="preserve">Total Projected
Demand (12-mo)</t>
  </si>
  <si>
    <t xml:space="preserve">Annual Skilled-Talent
Supply (graduates+
lateral, est.)</t>
  </si>
  <si>
    <t xml:space="preserve">Net Vacancy Gap
(Demand−Supply)</t>
  </si>
  <si>
    <t xml:space="preserve">Gap as % of
Demand</t>
  </si>
  <si>
    <t xml:space="preserve">Gap Severity</t>
  </si>
  <si>
    <t xml:space="preserve">Avg. Time-to-Fill
(days, current)</t>
  </si>
  <si>
    <t xml:space="preserve">Median CTC
(₹ lakh p.a.)</t>
  </si>
  <si>
    <t xml:space="preserve">YoY Demand
Growth %</t>
  </si>
  <si>
    <t xml:space="preserve">Top Constraint</t>
  </si>
  <si>
    <t xml:space="preserve">Recommended
Action</t>
  </si>
  <si>
    <t xml:space="preserve">Confidence</t>
  </si>
  <si>
    <t xml:space="preserve">High</t>
  </si>
  <si>
    <t xml:space="preserve">Skilled technician shortage (SMT/test)</t>
  </si>
  <si>
    <t xml:space="preserve">Scale ITI-industry tie-ups; fast-track skill certification</t>
  </si>
  <si>
    <t xml:space="preserve">Naukri JobSpeak + Sector Master elasticity</t>
  </si>
  <si>
    <t xml:space="preserve">Moderate</t>
  </si>
  <si>
    <t xml:space="preserve">Mid-management bench depth</t>
  </si>
  <si>
    <t xml:space="preserve">Leverage existing Samsung/Foxconn supplier base for upskilling</t>
  </si>
  <si>
    <t xml:space="preserve">Naukri + State Master</t>
  </si>
  <si>
    <t xml:space="preserve">Critical</t>
  </si>
  <si>
    <t xml:space="preserve">Acute shortage of fab-trained engineers</t>
  </si>
  <si>
    <t xml:space="preserve">National semiconductor skilling mission; import trained talent short-term</t>
  </si>
  <si>
    <t xml:space="preserve">ISM project data + Sector Master</t>
  </si>
  <si>
    <t xml:space="preserve">No existing fab-trained workforce base</t>
  </si>
  <si>
    <t xml:space="preserve">Greenfield skilling centre near Jewar/Greater Noida</t>
  </si>
  <si>
    <t xml:space="preserve">HCL-Foxconn project + State Master</t>
  </si>
  <si>
    <t xml:space="preserve">Automobiles &amp; EV Components</t>
  </si>
  <si>
    <t xml:space="preserve">EV-specific powertrain skill gap</t>
  </si>
  <si>
    <t xml:space="preserve">EV-focused ITI curriculum updates</t>
  </si>
  <si>
    <t xml:space="preserve">Karnataka SLSWCC approvals (Apr-2026) + Sector Master</t>
  </si>
  <si>
    <t xml:space="preserve">Adequate base, tightness at senior engineer level</t>
  </si>
  <si>
    <t xml:space="preserve">Lateral hiring incentives for 8+ yr experience band</t>
  </si>
  <si>
    <t xml:space="preserve">TN EV cluster data + Sector Master</t>
  </si>
  <si>
    <t xml:space="preserve">Competitive lateral market, low net gap</t>
  </si>
  <si>
    <t xml:space="preserve">Retention-focused, not acquisition-focused</t>
  </si>
  <si>
    <t xml:space="preserve">Maharashtra mega-project basket + Sector Master</t>
  </si>
  <si>
    <t xml:space="preserve">Pharmaceuticals &amp; API</t>
  </si>
  <si>
    <t xml:space="preserve">Low</t>
  </si>
  <si>
    <t xml:space="preserve">Largely balanced; mild QA/regulatory-affairs shortage</t>
  </si>
  <si>
    <t xml:space="preserve">Targeted GMP/regulatory-affairs certification drives</t>
  </si>
  <si>
    <t xml:space="preserve">Naukri + Sector Master</t>
  </si>
  <si>
    <t xml:space="preserve">Multi-state (MP/Punjab/UP/Bihar)</t>
  </si>
  <si>
    <t xml:space="preserve">Seasonal labour churn in processing units</t>
  </si>
  <si>
    <t xml:space="preserve">Strengthen FPO-linked seasonal workforce pools</t>
  </si>
  <si>
    <t xml:space="preserve">PLISFPI 274-site data + Sector Master</t>
  </si>
  <si>
    <t xml:space="preserve">Textiles &amp; Apparel</t>
  </si>
  <si>
    <t xml:space="preserve">Stable; minor machine-operator shortfall</t>
  </si>
  <si>
    <t xml:space="preserve">Standard ITI pipeline sufficient</t>
  </si>
  <si>
    <t xml:space="preserve">PM MITRA + Sector Master</t>
  </si>
  <si>
    <t xml:space="preserve">IT Services &amp; GCC</t>
  </si>
  <si>
    <t xml:space="preserve">Surplus</t>
  </si>
  <si>
    <t xml:space="preserve">Oversupply at entry level; niche cloud/AI skill shortage persists</t>
  </si>
  <si>
    <t xml:space="preserve">Reskill surplus entry-level talent into AI/cloud tracks</t>
  </si>
  <si>
    <t xml:space="preserve">Naukri JobSpeak (IT flat) + State Master</t>
  </si>
  <si>
    <t xml:space="preserve">Similar entry-level oversupply pattern</t>
  </si>
  <si>
    <t xml:space="preserve">Reskilling over fresh hiring</t>
  </si>
  <si>
    <t xml:space="preserve">Naukri JobSpeak + State Master</t>
  </si>
  <si>
    <t xml:space="preserve">Most acute skill shortage in the dataset — demand far outstrips trained supply</t>
  </si>
  <si>
    <t xml:space="preserve">Emergency upskilling cohorts; GCC-funded AI academies</t>
  </si>
  <si>
    <t xml:space="preserve">Naukri JobSpeak (+45% FY26) + Sector Master</t>
  </si>
  <si>
    <t xml:space="preserve">Same acute pattern as Bengaluru, slightly smaller base</t>
  </si>
  <si>
    <t xml:space="preserve">Cross-city talent mobility incentives</t>
  </si>
  <si>
    <t xml:space="preserve">Naukri JobSpeak (Delhi NCR +35% AI/ML) + Sector Master</t>
  </si>
  <si>
    <t xml:space="preserve">Compliance/risk-analytics niche shortage</t>
  </si>
  <si>
    <t xml:space="preserve">Targeted RegTech-analytics certification</t>
  </si>
  <si>
    <t xml:space="preserve">Tracxn FY26 sector funding + Sector Master</t>
  </si>
  <si>
    <t xml:space="preserve">BFSI (Traditional Banking)</t>
  </si>
  <si>
    <t xml:space="preserve">Multi-state (Pan-India)</t>
  </si>
  <si>
    <t xml:space="preserve">Branch-banking roles declining as digital channels scale</t>
  </si>
  <si>
    <t xml:space="preserve">Redeploy branch staff into digital/relationship roles</t>
  </si>
  <si>
    <t xml:space="preserve">Naukri JobSpeak (BFSI -15% YoY) + Sector Master</t>
  </si>
  <si>
    <t xml:space="preserve">Multi-state (Goa/Rajasthan/Kerala/NCR)</t>
  </si>
  <si>
    <t xml:space="preserve">Front-of-house and culinary-skill shortage post-pandemic attrition</t>
  </si>
  <si>
    <t xml:space="preserve">Hospitality-sector ITI tie-ups; tourism-board skilling funds</t>
  </si>
  <si>
    <t xml:space="preserve">Naukri JobSpeak (Hospitality +21% YoY) + Sector Master</t>
  </si>
  <si>
    <t xml:space="preserve">BPO/ITES &amp; Customer Experience</t>
  </si>
  <si>
    <t xml:space="preserve">Multi-state (Karnataka/Telangana/UP)</t>
  </si>
  <si>
    <t xml:space="preserve">Adequate supply; voice-process attrition remains structural</t>
  </si>
  <si>
    <t xml:space="preserve">Improve retention via career-pathing programmes</t>
  </si>
  <si>
    <t xml:space="preserve">Naukri JobSpeak (BPO/ITES +18% YoY) + Sector Master</t>
  </si>
  <si>
    <t xml:space="preserve">Subject-matter-expert shortage in STEM content roles</t>
  </si>
  <si>
    <t xml:space="preserve">STEM-teacher fellowship and content-creator programmes</t>
  </si>
  <si>
    <t xml:space="preserve">Naukri JobSpeak (+15% YoY) + Sector Master</t>
  </si>
  <si>
    <t xml:space="preserve">Oil &amp; Gas (Refining Expansion)</t>
  </si>
  <si>
    <t xml:space="preserve">Gujarat / Odisha / Multi-state</t>
  </si>
  <si>
    <t xml:space="preserve">Process-engineering and HSE-certified talent shortage</t>
  </si>
  <si>
    <t xml:space="preserve">Refinery-linked apprenticeship scale-up</t>
  </si>
  <si>
    <t xml:space="preserve">EV Mobility Startups</t>
  </si>
  <si>
    <t xml:space="preserve">Multi-state (Delhi-NCR/Maharashtra/Karnataka)</t>
  </si>
  <si>
    <t xml:space="preserve">Battery-systems and charging-infra engineering shortage</t>
  </si>
  <si>
    <t xml:space="preserve">EV-specific deeptech fellowships; OEM-startup talent exchange</t>
  </si>
  <si>
    <t xml:space="preserve">Startup Funding Tracker + Sector Master</t>
  </si>
  <si>
    <t xml:space="preserve">Renewable Energy (Solar/Wind/Green H2)</t>
  </si>
  <si>
    <t xml:space="preserve">Gujarat / Rajasthan / Tamil Nadu</t>
  </si>
  <si>
    <t xml:space="preserve">Project-engineering and grid-integration skill shortage</t>
  </si>
  <si>
    <t xml:space="preserve">Renewable-energy-focused diploma fast-track programmes</t>
  </si>
  <si>
    <t xml:space="preserve">Sector Master + State pipeline data</t>
  </si>
  <si>
    <t xml:space="preserve">Logistics, Warehousing &amp; Quick-commerce</t>
  </si>
  <si>
    <t xml:space="preserve">Multi-state (Pan-India metros)</t>
  </si>
  <si>
    <t xml:space="preserve">Last-mile delivery &amp; warehouse-ops churn</t>
  </si>
  <si>
    <t xml:space="preserve">Gig-to-permanent conversion pathways</t>
  </si>
  <si>
    <t xml:space="preserve">Sector Master + Startup Funding Tracker</t>
  </si>
  <si>
    <t xml:space="preserve">Site-supervisor and skilled-mason shortage in tier-2 cities</t>
  </si>
  <si>
    <t xml:space="preserve">Construction-skill council certification scale-up</t>
  </si>
  <si>
    <t xml:space="preserve">Naukri JobSpeak (+14% YoY) + Sector Master</t>
  </si>
  <si>
    <t xml:space="preserve">NATIONAL TOTAL (sample sectors/states above)</t>
  </si>
  <si>
    <t xml:space="preserve">Methodology: 'Current Open Vacancies' is modelled from Naukri JobSpeak sector indices and state PLI/FDI activity scaled to each sector-state's share of national hiring (see Methodology_Assumptions sheet). 'Annual Skilled-Talent Supply' blends AISHE graduate-output data, NSDC skilling completions, and lateral-hire flow estimates. Negative gaps ('Surplus') indicate oversupply at current skill mix — typically entry-level IT and traditional banking roles being disrupted by AI/digital channels.</t>
  </si>
  <si>
    <t xml:space="preserve">Job Creation Forecast Engine — 3 / 6 / 12 / 24-Month Horizons</t>
  </si>
  <si>
    <t xml:space="preserve">Point estimates + 80% confidence intervals for the CONFIRMED, named project pipeline (Project_Pipeline). Direct-hire rates below are recomputed from each project's own announced investment-and-jobs figures (not generic national multipliers), then scaled by an indirect-jobs multiplier and a gestation-based S-curve.</t>
  </si>
  <si>
    <t xml:space="preserve">Investment in Scope
(₹ Cr, summed from
Project_Pipeline)</t>
  </si>
  <si>
    <t xml:space="preserve">Direct Jobs/₹100cr
(recomputed from
same projects)</t>
  </si>
  <si>
    <t xml:space="preserve">Indirect
Multiplier</t>
  </si>
  <si>
    <t xml:space="preserve">3-Month Jobs
(Point Est.)</t>
  </si>
  <si>
    <t xml:space="preserve">3-Mo CI Low
(80%)</t>
  </si>
  <si>
    <t xml:space="preserve">3-Mo CI High
(80%)</t>
  </si>
  <si>
    <t xml:space="preserve">6-Month Jobs
(Point Est.)</t>
  </si>
  <si>
    <t xml:space="preserve">6-Mo CI Low</t>
  </si>
  <si>
    <t xml:space="preserve">6-Mo CI High</t>
  </si>
  <si>
    <t xml:space="preserve">12-Month Jobs
(Point Est.)</t>
  </si>
  <si>
    <t xml:space="preserve">12-Mo CI Low</t>
  </si>
  <si>
    <t xml:space="preserve">12-Mo CI High</t>
  </si>
  <si>
    <t xml:space="preserve">24-Month Jobs
(Point Est.)</t>
  </si>
  <si>
    <t xml:space="preserve">24-Mo CI Low</t>
  </si>
  <si>
    <t xml:space="preserve">24-Mo CI High</t>
  </si>
  <si>
    <t xml:space="preserve">Model Confidence</t>
  </si>
  <si>
    <t xml:space="preserve">Steel &amp; Metals</t>
  </si>
  <si>
    <t xml:space="preserve">Manufacturing (Diversified Industrial)</t>
  </si>
  <si>
    <t xml:space="preserve">Renewable Energy (Solar/Wind)</t>
  </si>
  <si>
    <t xml:space="preserve">Food Processing &amp; FMCG</t>
  </si>
  <si>
    <t xml:space="preserve">Textiles &amp; Technical Textiles</t>
  </si>
  <si>
    <t xml:space="preserve">IT Infrastructure / Commercial Real Estate</t>
  </si>
  <si>
    <t xml:space="preserve">Core Industry — Coal Gasification &amp; Chemicals</t>
  </si>
  <si>
    <t xml:space="preserve">Battery / EV Components (Graphite Anode)</t>
  </si>
  <si>
    <t xml:space="preserve">TOTAL — CONFIRMED PIPELINE (tracked sectors/states)</t>
  </si>
  <si>
    <t xml:space="preserve">Methodology: This table covers only the CONFIRMED, named project pipeline tracked in Project_Pipeline. It deliberately excludes (a) the national PLI cumulative total of 14.39 lakh jobs already shown separately on the Dashboard and in PLI_Scheme_Tracker (to avoid double-counting), and (b) aspirational policy pledges such as Karnataka's ₹50,000cr/1 lakh-job EV policy target and its ₹10.27 lakh crore/6 lakh-job Global Investors Meet pledge (tracked separately in Alerts_Watchlist A005 and AI_Insights_Log I006 as upper-bound scenarios, given their scale relative to the state's annual skilled-graduate output). Direct-jobs-per-₹100cr rates are recomputed from each row's own constituent projects' announced investment and direct-jobs figures, then multiplied by the sector's indirect-jobs multiplier (Sector_SubSector_Master) to estimate total jobs. Horizon maturity fractions follow gestation-based S-curve logic consistent with the sector's stated gestation period.</t>
  </si>
  <si>
    <t xml:space="preserve">Source project mapping (for audit, cross-reference Project_Pipeline by company name): Semiconductors-Gujarat = Tata Electronics + Micron + Crystal Matrix + Suchi Semicon + Kaynes + CG Power/CG Semi. Semiconductors-UP = HCL-Foxconn. Semiconductors-Odisha = RIR Power Electronics. Automobiles-Karnataka = Volvo + Tsuyo Manufacturing. Automobiles-Maharashtra = HS Hyosung. Steel-Karnataka = JSW Steel + JSW JFE Electrical Steel. Manufacturing-Karnataka = SFX India. Renewable-Karnataka = Vayu Assets. Telecom-Karnataka = Tejas Networks. Food/FMCG-Karnataka = Reliance Consumer Products + Karnataka Bangaru Sugars. Textiles-Karnataka = HSS Textile + Kleine Pax. IT Infra-Karnataka = Bagmane Constructions. Hospitality-Karnataka = Trishul Buildtech. Core Industry-Maharashtra = Adani Enterprises. Battery-Maharashtra = Graphite India.</t>
  </si>
  <si>
    <t xml:space="preserve">Trending Skills &amp; Roles Demand</t>
  </si>
  <si>
    <t xml:space="preserve">Source: Naukri JobSpeak monthly reports (Jan–May 2026 releases) + sector elasticity overlay</t>
  </si>
  <si>
    <t xml:space="preserve">Role / Skill Cluster</t>
  </si>
  <si>
    <t xml:space="preserve">Primary Sector</t>
  </si>
  <si>
    <t xml:space="preserve">Demand Tier
(experience band)</t>
  </si>
  <si>
    <t xml:space="preserve">Demand:Supply
Ratio (×)</t>
  </si>
  <si>
    <t xml:space="preserve">Top Hiring Cities</t>
  </si>
  <si>
    <t xml:space="preserve">Trend Direction</t>
  </si>
  <si>
    <t xml:space="preserve">Driving Factor</t>
  </si>
  <si>
    <t xml:space="preserve">AI/ML Engineer</t>
  </si>
  <si>
    <t xml:space="preserve">IT / Cross-sector</t>
  </si>
  <si>
    <t xml:space="preserve">All bands, strongest at 13-16 yrs (+36%)</t>
  </si>
  <si>
    <t xml:space="preserve">Bengaluru, Delhi-NCR, Chennai, Mumbai</t>
  </si>
  <si>
    <t xml:space="preserve">↑ Accelerating</t>
  </si>
  <si>
    <t xml:space="preserve">GCC AI-academy build-out + enterprise AI adoption</t>
  </si>
  <si>
    <t xml:space="preserve">Naukri JobSpeak Mar-2026 (FY26 full-year +45%)</t>
  </si>
  <si>
    <t xml:space="preserve">Semiconductor Process/Fab Engineer</t>
  </si>
  <si>
    <t xml:space="preserve">Mid (5-10 yrs) acutely short</t>
  </si>
  <si>
    <t xml:space="preserve">Ahmedabad, Surat, Noida, Bengaluru</t>
  </si>
  <si>
    <t xml:space="preserve">Tata/Micron/HCL-Foxconn fab ramp-up</t>
  </si>
  <si>
    <t xml:space="preserve">ISM project data; Sector Master</t>
  </si>
  <si>
    <t xml:space="preserve">EV Powertrain &amp; Battery Engineer</t>
  </si>
  <si>
    <t xml:space="preserve">Automobiles/EV</t>
  </si>
  <si>
    <t xml:space="preserve">Mid (4-8 yrs)</t>
  </si>
  <si>
    <t xml:space="preserve">Chennai, Bengaluru, Pune, Delhi-NCR</t>
  </si>
  <si>
    <t xml:space="preserve">EV PLI + startup funding ($1.6bn FY26 EV mobility)</t>
  </si>
  <si>
    <t xml:space="preserve">Tracxn/Newskart FY26 + Sector Master</t>
  </si>
  <si>
    <t xml:space="preserve">Cybersecurity Analyst</t>
  </si>
  <si>
    <t xml:space="preserve">IT / BFSI</t>
  </si>
  <si>
    <t xml:space="preserve">Mid-Senior (6-12 yrs)</t>
  </si>
  <si>
    <t xml:space="preserve">Bengaluru, Hyderabad, Pune, Mumbai</t>
  </si>
  <si>
    <t xml:space="preserve">↑ Steady</t>
  </si>
  <si>
    <t xml:space="preserve">Data-protection compliance + digital infra scale-up</t>
  </si>
  <si>
    <t xml:space="preserve">Naukri JobSpeak trend overlay</t>
  </si>
  <si>
    <t xml:space="preserve">GCC Operations &amp; Delivery Lead</t>
  </si>
  <si>
    <t xml:space="preserve">IT Services/GCC</t>
  </si>
  <si>
    <t xml:space="preserve">Senior (10+ yrs)</t>
  </si>
  <si>
    <t xml:space="preserve">Bengaluru, Hyderabad, Pune</t>
  </si>
  <si>
    <t xml:space="preserve">GCC count crossing 1,700+ centres nationally</t>
  </si>
  <si>
    <t xml:space="preserve">Naukri JobSpeak + Karnataka GCC Policy 2.0</t>
  </si>
  <si>
    <t xml:space="preserve">Hospitality Operations &amp; F&amp;B Management</t>
  </si>
  <si>
    <t xml:space="preserve">Entry-Mid (0-6 yrs)</t>
  </si>
  <si>
    <t xml:space="preserve">Goa, Jaipur, Delhi-NCR, Mumbai</t>
  </si>
  <si>
    <t xml:space="preserve">Naukri JobSpeak Mar-2026: Hospitality +21% YoY</t>
  </si>
  <si>
    <t xml:space="preserve">Naukri JobSpeak Mar-2026</t>
  </si>
  <si>
    <t xml:space="preserve">BPO/ITES Voice &amp; Non-Voice Process</t>
  </si>
  <si>
    <t xml:space="preserve">BPO/ITES</t>
  </si>
  <si>
    <t xml:space="preserve">Entry (0-3 yrs)</t>
  </si>
  <si>
    <t xml:space="preserve">Bengaluru, Hyderabad, NCR, Mumbai</t>
  </si>
  <si>
    <t xml:space="preserve">Naukri JobSpeak FY26: BPO/ITES +18% (Mar), +21% (Jan)</t>
  </si>
  <si>
    <t xml:space="preserve">Naukri JobSpeak FY26 releases</t>
  </si>
  <si>
    <t xml:space="preserve">Oil &amp; Gas Process/HSE Engineer</t>
  </si>
  <si>
    <t xml:space="preserve">Oil &amp; Gas</t>
  </si>
  <si>
    <t xml:space="preserve">Mid (5-10 yrs)</t>
  </si>
  <si>
    <t xml:space="preserve">Vadodara, Vizag, Jamnagar</t>
  </si>
  <si>
    <t xml:space="preserve">Refinery expansion &amp; energy-security capex</t>
  </si>
  <si>
    <t xml:space="preserve">Naukri JobSpeak Mar-2026 (+15% YoY)</t>
  </si>
  <si>
    <t xml:space="preserve">Real Estate Project &amp; Site Management</t>
  </si>
  <si>
    <t xml:space="preserve">Real Estate/Construction</t>
  </si>
  <si>
    <t xml:space="preserve">Mid (4-10 yrs)</t>
  </si>
  <si>
    <t xml:space="preserve">Mumbai, Bengaluru, NCR, Pune</t>
  </si>
  <si>
    <t xml:space="preserve">Naukri JobSpeak Mar-2026 (+14% YoY)</t>
  </si>
  <si>
    <t xml:space="preserve">EdTech Content &amp; Subject-Matter Expert</t>
  </si>
  <si>
    <t xml:space="preserve">Education</t>
  </si>
  <si>
    <t xml:space="preserve">Mid (3-8 yrs)</t>
  </si>
  <si>
    <t xml:space="preserve">Bengaluru, Delhi-NCR, Mumbai</t>
  </si>
  <si>
    <t xml:space="preserve">Fintech Risk &amp; Compliance Analyst</t>
  </si>
  <si>
    <t xml:space="preserve">Mid-Senior (5-12 yrs)</t>
  </si>
  <si>
    <t xml:space="preserve">Mumbai, Bengaluru, Gurugram</t>
  </si>
  <si>
    <t xml:space="preserve">Fintech funding +14% YoY to $2.4bn FY26</t>
  </si>
  <si>
    <t xml:space="preserve">Tracxn FY26 + Naukri overlay</t>
  </si>
  <si>
    <t xml:space="preserve">Quick-Commerce Operations Manager</t>
  </si>
  <si>
    <t xml:space="preserve">Logistics/E-commerce</t>
  </si>
  <si>
    <t xml:space="preserve">Entry-Mid (1-5 yrs)</t>
  </si>
  <si>
    <t xml:space="preserve">Bengaluru, Delhi-NCR, Mumbai, Pune</t>
  </si>
  <si>
    <t xml:space="preserve">Dark-store network expansion, $188mn Q1-2026 funding</t>
  </si>
  <si>
    <t xml:space="preserve">Entrackr Q1-2026 + Sector Master</t>
  </si>
  <si>
    <t xml:space="preserve">Insurance Underwriting &amp; Actuarial</t>
  </si>
  <si>
    <t xml:space="preserve">Mid-Senior (5-15 yrs)</t>
  </si>
  <si>
    <t xml:space="preserve">Mumbai, Bengaluru, Chennai</t>
  </si>
  <si>
    <t xml:space="preserve">↑ Mild</t>
  </si>
  <si>
    <t xml:space="preserve">Naukri JobSpeak FY26: Insurance consistently +6-7%</t>
  </si>
  <si>
    <t xml:space="preserve">Traditional Branch Banking Roles</t>
  </si>
  <si>
    <t xml:space="preserve">BFSI</t>
  </si>
  <si>
    <t xml:space="preserve">Pan-India Tier-2/3</t>
  </si>
  <si>
    <t xml:space="preserve">↓ Declining</t>
  </si>
  <si>
    <t xml:space="preserve">Digital-channel substitution; BFSI -15% YoY Jan-2026</t>
  </si>
  <si>
    <t xml:space="preserve">Naukri JobSpeak Jan-2026</t>
  </si>
  <si>
    <t xml:space="preserve">IT Services — Traditional Delivery (non-AI)</t>
  </si>
  <si>
    <t xml:space="preserve">IT Services</t>
  </si>
  <si>
    <t xml:space="preserve">All bands</t>
  </si>
  <si>
    <t xml:space="preserve">Bengaluru, Pune, Chennai, NCR</t>
  </si>
  <si>
    <t xml:space="preserve">→ Flat</t>
  </si>
  <si>
    <t xml:space="preserve">IT sector flat in FY26 while AI/ML surges separately</t>
  </si>
  <si>
    <t xml:space="preserve">Top Upcoming Employers — Announced Hiring &amp; Expansion Plans</t>
  </si>
  <si>
    <t xml:space="preserve">Compiled from company press releases, state single-window approvals, and PIB statements (2025–2026)</t>
  </si>
  <si>
    <t xml:space="preserve">Company</t>
  </si>
  <si>
    <t xml:space="preserve">State / Location</t>
  </si>
  <si>
    <t xml:space="preserve">Announced Investment
(₹ Cr)</t>
  </si>
  <si>
    <t xml:space="preserve">Announced Jobs
(Direct)</t>
  </si>
  <si>
    <t xml:space="preserve">Hiring Timeline</t>
  </si>
  <si>
    <t xml:space="preserve">Roles in Demand</t>
  </si>
  <si>
    <t xml:space="preserve">Tata Electronics</t>
  </si>
  <si>
    <t xml:space="preserve">Dholera, Gujarat</t>
  </si>
  <si>
    <t xml:space="preserve">2026-2028</t>
  </si>
  <si>
    <t xml:space="preserve">Fab process engineers, technicians, quality/yield analysts</t>
  </si>
  <si>
    <t xml:space="preserve">Tata-ASML agreement, BIS Infotech, May-2026</t>
  </si>
  <si>
    <t xml:space="preserve">Micron Technology</t>
  </si>
  <si>
    <t xml:space="preserve">Sanand, Gujarat</t>
  </si>
  <si>
    <t xml:space="preserve">Operational</t>
  </si>
  <si>
    <t xml:space="preserve">Immediate-2027</t>
  </si>
  <si>
    <t xml:space="preserve">ATMP technicians, equipment engineers, supply-chain ops</t>
  </si>
  <si>
    <t xml:space="preserve">PM inauguration, Udyami Digital, Mar-2026</t>
  </si>
  <si>
    <t xml:space="preserve">Adani Enterprises</t>
  </si>
  <si>
    <t xml:space="preserve">Coal Gasification/Chemicals</t>
  </si>
  <si>
    <t xml:space="preserve">Nagpur, Maharashtra</t>
  </si>
  <si>
    <t xml:space="preserve">Final Stages</t>
  </si>
  <si>
    <t xml:space="preserve">2027-2029</t>
  </si>
  <si>
    <t xml:space="preserve">Process engineers, plant operators, EHS specialists</t>
  </si>
  <si>
    <t xml:space="preserve">Karnataka Industrial Policy Investors (aggregate)</t>
  </si>
  <si>
    <t xml:space="preserve">Multi-sector</t>
  </si>
  <si>
    <t xml:space="preserve">Karnataka (statewide)</t>
  </si>
  <si>
    <t xml:space="preserve">Investor Commitments (GIM)</t>
  </si>
  <si>
    <t xml:space="preserve">2026-2031 (phased)</t>
  </si>
  <si>
    <t xml:space="preserve">Broad-based — manufacturing, EV, deeptech, aerospace</t>
  </si>
  <si>
    <t xml:space="preserve">Deccan Herald — Invest Karnataka 2025 GIM</t>
  </si>
  <si>
    <t xml:space="preserve">JSW Steel</t>
  </si>
  <si>
    <t xml:space="preserve">Steel</t>
  </si>
  <si>
    <t xml:space="preserve">Ballari, Karnataka</t>
  </si>
  <si>
    <t xml:space="preserve">2026-2027</t>
  </si>
  <si>
    <t xml:space="preserve">Plant operators, metallurgical engineers, maintenance technicians</t>
  </si>
  <si>
    <t xml:space="preserve">Maharashtra Thrust-Sector Basket (17 projects)</t>
  </si>
  <si>
    <t xml:space="preserve">Mixed High-Tech</t>
  </si>
  <si>
    <t xml:space="preserve">Maharashtra (statewide)</t>
  </si>
  <si>
    <t xml:space="preserve">Process engineers, plant technicians, EHS, logistics</t>
  </si>
  <si>
    <t xml:space="preserve">News on Air, Jul-2025</t>
  </si>
  <si>
    <t xml:space="preserve">Volvo Group India</t>
  </si>
  <si>
    <t xml:space="preserve">Bengaluru North, Karnataka</t>
  </si>
  <si>
    <t xml:space="preserve">Assembly technicians, quality engineers, supply-chain staff</t>
  </si>
  <si>
    <t xml:space="preserve">Graphite India Limited</t>
  </si>
  <si>
    <t xml:space="preserve">Battery Materials</t>
  </si>
  <si>
    <t xml:space="preserve">Nashik, Maharashtra</t>
  </si>
  <si>
    <t xml:space="preserve">Process chemists, plant operators, R&amp;D engineers</t>
  </si>
  <si>
    <t xml:space="preserve">HCL-Foxconn JV</t>
  </si>
  <si>
    <t xml:space="preserve">Semiconductors (Display)</t>
  </si>
  <si>
    <t xml:space="preserve">Greater Noida, UP</t>
  </si>
  <si>
    <t xml:space="preserve">ATMP operators, test engineers, process technicians</t>
  </si>
  <si>
    <t xml:space="preserve">CG Power / CG Semi</t>
  </si>
  <si>
    <t xml:space="preserve">Semiconductors (OSAT)</t>
  </si>
  <si>
    <t xml:space="preserve">OSAT line operators, test engineers, process engineers</t>
  </si>
  <si>
    <t xml:space="preserve">Erisha E-Mobility</t>
  </si>
  <si>
    <t xml:space="preserve">Multi-state (Delhi-NCR HQ)</t>
  </si>
  <si>
    <t xml:space="preserve">Manufacturing technicians, supply-chain, R&amp;D engineers</t>
  </si>
  <si>
    <t xml:space="preserve">Newskart — $1.0bn raised, Mar-2026</t>
  </si>
  <si>
    <t xml:space="preserve">FMCG/Food Processing</t>
  </si>
  <si>
    <t xml:space="preserve">2026</t>
  </si>
  <si>
    <t xml:space="preserve">Plant operators, QA, sales &amp; distribution</t>
  </si>
  <si>
    <t xml:space="preserve">Careers360/PTI, 24-Oct-2025</t>
  </si>
  <si>
    <t xml:space="preserve">Tejas Networks</t>
  </si>
  <si>
    <t xml:space="preserve">Bengaluru, Karnataka</t>
  </si>
  <si>
    <t xml:space="preserve">RF/hardware engineers, embedded-software developers</t>
  </si>
  <si>
    <t xml:space="preserve">GreenLine</t>
  </si>
  <si>
    <t xml:space="preserve">EV Logistics</t>
  </si>
  <si>
    <t xml:space="preserve">Fleet operations, EV maintenance technicians, drivers</t>
  </si>
  <si>
    <t xml:space="preserve">Newskart — $275mn raised</t>
  </si>
  <si>
    <t xml:space="preserve">Production staff, machine operators</t>
  </si>
  <si>
    <t xml:space="preserve">Karnataka Bangaru Sugars</t>
  </si>
  <si>
    <t xml:space="preserve">Vijayapura/Bagalkote, Karnataka</t>
  </si>
  <si>
    <t xml:space="preserve">Plant operators, agri-supply-chain staff</t>
  </si>
  <si>
    <t xml:space="preserve">Bagmane Constructions</t>
  </si>
  <si>
    <t xml:space="preserve">IT Infrastructure (Real Estate)</t>
  </si>
  <si>
    <t xml:space="preserve">Construction project managers, MEP engineers, leasing staff</t>
  </si>
  <si>
    <t xml:space="preserve">HS Hyosung India</t>
  </si>
  <si>
    <t xml:space="preserve">Auto Components (Tyre Cord)</t>
  </si>
  <si>
    <t xml:space="preserve">Production technicians, quality engineers</t>
  </si>
  <si>
    <t xml:space="preserve">Vayu Assets</t>
  </si>
  <si>
    <t xml:space="preserve">Project engineers, O&amp;M technicians</t>
  </si>
  <si>
    <t xml:space="preserve">Crystal Matrix Ltd</t>
  </si>
  <si>
    <t xml:space="preserve">Compound Semiconductors</t>
  </si>
  <si>
    <t xml:space="preserve">Epitaxy engineers, GaN process specialists</t>
  </si>
  <si>
    <t xml:space="preserve">Hiring Demand Heatmap — State × Sector</t>
  </si>
  <si>
    <t xml:space="preserve">Composite hiring-intensity index (0-100) blending: pipeline investment scale, Naukri JobSpeak sector YoY, and vacancy-gap severity. Higher = stronger near-term hiring momentum.</t>
  </si>
  <si>
    <t xml:space="preserve">State / Sector</t>
  </si>
  <si>
    <t xml:space="preserve">Electronics &amp;
Semiconductors</t>
  </si>
  <si>
    <t xml:space="preserve">Automobiles
&amp; EV</t>
  </si>
  <si>
    <t xml:space="preserve">Pharma &amp;
Chemicals</t>
  </si>
  <si>
    <t xml:space="preserve">Food
Processing</t>
  </si>
  <si>
    <t xml:space="preserve">IT Services
&amp; GCC</t>
  </si>
  <si>
    <t xml:space="preserve">AI/ML &amp;
Deeptech</t>
  </si>
  <si>
    <t xml:space="preserve">Fintech &amp;
BFSI</t>
  </si>
  <si>
    <t xml:space="preserve">Hospitality
&amp; Travel</t>
  </si>
  <si>
    <t xml:space="preserve">Real Estate &amp;
Construction</t>
  </si>
  <si>
    <t xml:space="preserve">Renewable
Energy</t>
  </si>
  <si>
    <t xml:space="preserve">Logistics &amp;
E-commerce</t>
  </si>
  <si>
    <t xml:space="preserve">Index construction: (40% × normalised pipeline-investment scale in Project_Pipeline) + (35% × Naukri JobSpeak sector YoY growth in Skills_Roles_Demand) + (25% × Vacancy_Gap_Analysis severity score). Darker red = highest composite hiring intensity. Recompute monthly as underlying tracker sheets refresh.</t>
  </si>
  <si>
    <t xml:space="preserve">Macroeconomic Indicators Feeding the Forecast Model</t>
  </si>
  <si>
    <t xml:space="preserve">Source: MoSPI Provisional Estimates (5-Jun-2026), Economic Survey 2025-26 (29-Jan-2026 briefing), IBEF, PIB</t>
  </si>
  <si>
    <t xml:space="preserve">A. GROWTH &amp; OUTPUT</t>
  </si>
  <si>
    <t xml:space="preserve">Indicator</t>
  </si>
  <si>
    <t xml:space="preserve">Latest Value</t>
  </si>
  <si>
    <t xml:space="preserve">Period</t>
  </si>
  <si>
    <t xml:space="preserve">Prior Period</t>
  </si>
  <si>
    <t xml:space="preserve">YoY/Trend</t>
  </si>
  <si>
    <t xml:space="preserve">Real GDP Growth (provisional, new 2022-23 base)</t>
  </si>
  <si>
    <t xml:space="preserve">MoSPI Provisional Estimates, 5-Jun-2026</t>
  </si>
  <si>
    <t xml:space="preserve">Real GDP Growth — Q4 FY26</t>
  </si>
  <si>
    <t xml:space="preserve">Q4 FY 2025-26</t>
  </si>
  <si>
    <t xml:space="preserve">↑ Beat 2nd Advance Estimate</t>
  </si>
  <si>
    <t xml:space="preserve">MoSPI, 5-Jun-2026</t>
  </si>
  <si>
    <t xml:space="preserve">Gross Fixed Capital Formation (GFCF) Growth</t>
  </si>
  <si>
    <t xml:space="preserve">↑ Accelerating (Q4 at 10.8%, 13-qtr high)</t>
  </si>
  <si>
    <t xml:space="preserve">Index of Industrial Production (IIP) YoY</t>
  </si>
  <si>
    <t xml:space="preserve">Mar-2026</t>
  </si>
  <si>
    <t xml:space="preserve">↑ Steady — manufacturing +4.3%, mining +5.5%</t>
  </si>
  <si>
    <t xml:space="preserve">IBEF Economy Overview, 3 weeks old</t>
  </si>
  <si>
    <t xml:space="preserve">IIP Index Level</t>
  </si>
  <si>
    <t xml:space="preserve">↑ vs. Mar-2025</t>
  </si>
  <si>
    <t xml:space="preserve">IBEF Economy Overview</t>
  </si>
  <si>
    <t xml:space="preserve">Manufacturing PMI (HSBC)</t>
  </si>
  <si>
    <t xml:space="preserve">→ Moderated from Feb peak, still expansionary</t>
  </si>
  <si>
    <t xml:space="preserve">Manufacturing GVA Growth</t>
  </si>
  <si>
    <t xml:space="preserve">Double-digit</t>
  </si>
  <si>
    <t xml:space="preserve">↑ Construction &amp; manufacturing led Q4 beat</t>
  </si>
  <si>
    <t xml:space="preserve">MoSPI, 5-Jun-2026 (IASPoint summary)</t>
  </si>
  <si>
    <t xml:space="preserve">B. LABOUR MARKET</t>
  </si>
  <si>
    <t xml:space="preserve">All-India Unemployment Rate (PLFS)</t>
  </si>
  <si>
    <t xml:space="preserve">2023-24</t>
  </si>
  <si>
    <t xml:space="preserve">↓ Declined sharply from launch-period level</t>
  </si>
  <si>
    <t xml:space="preserve">Economic Survey 2025-26 briefing, 29-Jan-2026</t>
  </si>
  <si>
    <t xml:space="preserve">Unemployment Rate — latest quarter of FY26</t>
  </si>
  <si>
    <t xml:space="preserve">Q3 FY 2025-26</t>
  </si>
  <si>
    <t xml:space="preserve">↓ Declined through first 9 months of FY26</t>
  </si>
  <si>
    <t xml:space="preserve">Female Labour Force Participation — change</t>
  </si>
  <si>
    <t xml:space="preserve">vs. PLFS launch</t>
  </si>
  <si>
    <t xml:space="preserve">↑ +18 percentage points cumulative</t>
  </si>
  <si>
    <t xml:space="preserve">Economic Survey 2025-26 briefing</t>
  </si>
  <si>
    <t xml:space="preserve">National Career Service — Registered Job Seekers</t>
  </si>
  <si>
    <t xml:space="preserve">Cumulative</t>
  </si>
  <si>
    <t xml:space="preserve">↑ 5.9 crore registered</t>
  </si>
  <si>
    <t xml:space="preserve">Economic Survey 2025-26, PIB doc, Jan-2026</t>
  </si>
  <si>
    <t xml:space="preserve">National Career Service — Registered Job Providers</t>
  </si>
  <si>
    <t xml:space="preserve">↑ 53 lakh employers on platform</t>
  </si>
  <si>
    <t xml:space="preserve">National Career Service — Vacancies Mobilised</t>
  </si>
  <si>
    <t xml:space="preserve">↑ ~8 crore vacancies, +200% increase noted</t>
  </si>
  <si>
    <t xml:space="preserve">Naukri JobSpeak Index</t>
  </si>
  <si>
    <t xml:space="preserve">↑ +9% YoY; FY26 full-year +8%</t>
  </si>
  <si>
    <t xml:space="preserve">Naukri JobSpeak, 6-Apr-2026</t>
  </si>
  <si>
    <t xml:space="preserve">C. TRADE &amp; CAPITAL FLOWS</t>
  </si>
  <si>
    <t xml:space="preserve">Total Exports</t>
  </si>
  <si>
    <t xml:space="preserve">FY 2024-25 (US$ Bn)</t>
  </si>
  <si>
    <t xml:space="preserve">Record level</t>
  </si>
  <si>
    <t xml:space="preserve">Economic Survey 2025-26, PIB doc</t>
  </si>
  <si>
    <t xml:space="preserve">Total Exports — H1</t>
  </si>
  <si>
    <t xml:space="preserve">H1 FY 2025-26 (US$ Bn)</t>
  </si>
  <si>
    <t xml:space="preserve">↑ Services-led growth</t>
  </si>
  <si>
    <t xml:space="preserve">FDI Inflow</t>
  </si>
  <si>
    <t xml:space="preserve">FY 2025-26 (US$ Bn)</t>
  </si>
  <si>
    <t xml:space="preserve">↑ +18% YoY</t>
  </si>
  <si>
    <t xml:space="preserve">India Briefing, 2 weeks old</t>
  </si>
  <si>
    <t xml:space="preserve">FPI Investment (Equity)</t>
  </si>
  <si>
    <t xml:space="preserve">Mar-2026 (US$ Bn)</t>
  </si>
  <si>
    <t xml:space="preserve">↓ vs Mar-2025 — portfolio rebalancing</t>
  </si>
  <si>
    <t xml:space="preserve">Sovereign Credit Rating Upgrades (2025)</t>
  </si>
  <si>
    <t xml:space="preserve">Calendar 2025 (count)</t>
  </si>
  <si>
    <t xml:space="preserve">↑ Morningstar DBRS, S&amp;P, R&amp;I all upgraded</t>
  </si>
  <si>
    <t xml:space="preserve">How this feeds the model: GDP/GFCF growth and IIP momentum set the macro 'tailwind multiplier' applied to sector-level forecasts in Job_Forecast_3_6_12_24M (a faster capex cycle compresses gestation periods). The declining unemployment rate and rising NCS vacancy mobilisation (8 crore cumulative) corroborate the Vacancy_Gap_Analysis sheet's demand-side estimates.</t>
  </si>
  <si>
    <t xml:space="preserve">Investment-to-Employment Conversion Analytics</t>
  </si>
  <si>
    <t xml:space="preserve">Capex-per-job benchmarks by sector, derived from real project disclosures in Project_Pipeline &amp; PLI_Scheme_Tracker — the core conversion ratio engine</t>
  </si>
  <si>
    <t xml:space="preserve">₹ Crore per Direct Job
(observed, low end)</t>
  </si>
  <si>
    <t xml:space="preserve">₹ Crore per Direct Job
(observed, high end)</t>
  </si>
  <si>
    <t xml:space="preserve">₹ Crore per Direct Job
(blended average)</t>
  </si>
  <si>
    <t xml:space="preserve">Capital Intensity
Classification</t>
  </si>
  <si>
    <t xml:space="preserve">Jobs per US$1 Bn
Investment (approx.)</t>
  </si>
  <si>
    <t xml:space="preserve">Real Examples Used</t>
  </si>
  <si>
    <t xml:space="preserve">Direct:Indirect
Ratio</t>
  </si>
  <si>
    <t xml:space="preserve">Semiconductors (Fab/ATMP/OSAT)</t>
  </si>
  <si>
    <t xml:space="preserve">Very High (capital-intensive)</t>
  </si>
  <si>
    <t xml:space="preserve">≈1,070</t>
  </si>
  <si>
    <t xml:space="preserve">Tata Electronics ₹91,000cr/8,000 jobs (₹11.4cr/job); Micron ₹22,500cr/5,000 jobs (₹4.5cr/job); Suchi Semicon ₹1,136cr/830 jobs (₹1.37cr/job)</t>
  </si>
  <si>
    <t xml:space="preserve">Project_Pipeline P001,P002,P004</t>
  </si>
  <si>
    <t xml:space="preserve">Low (labour-intensive)</t>
  </si>
  <si>
    <t xml:space="preserve">≈8,690</t>
  </si>
  <si>
    <t xml:space="preserve">PLISFPI ₹9,207cr / 339,000 jobs (₹0.027cr per job, i.e ~₹2.7 lakh/job — extremely labour-dense)</t>
  </si>
  <si>
    <t xml:space="preserve">PLI_Scheme_Tracker; Tribune/ANI Apr-2026</t>
  </si>
  <si>
    <t xml:space="preserve">≈770</t>
  </si>
  <si>
    <t xml:space="preserve">JSW Steel ₹4,600cr/3,200 jobs (₹1.44cr/job); JSW JFE Electrical Steel ₹7,102cr/900 jobs (₹7.9cr/job); SFX India ₹9,298cr/806 jobs (₹11.5cr/job)</t>
  </si>
  <si>
    <t xml:space="preserve">Project_Pipeline P009,P011,P012</t>
  </si>
  <si>
    <t xml:space="preserve">Automobiles &amp; Auto Components</t>
  </si>
  <si>
    <t xml:space="preserve">Medium-High</t>
  </si>
  <si>
    <t xml:space="preserve">≈2,160</t>
  </si>
  <si>
    <t xml:space="preserve">Volvo Group ₹1,500cr/1,100 jobs (₹1.36cr/job); Tsuyo Manufacturing ₹250cr/500 jobs (₹0.5cr/job); HS Hyosung ₹1,740cr/400 jobs (₹4.35cr/job)</t>
  </si>
  <si>
    <t xml:space="preserve">Project_Pipeline P010,P020,P024</t>
  </si>
  <si>
    <t xml:space="preserve">Medium</t>
  </si>
  <si>
    <t xml:space="preserve">≈4,700</t>
  </si>
  <si>
    <t xml:space="preserve">Vayu Assets ₹1,251cr/1,912 jobs (₹0.65cr/job) — labour-intensive installation phase</t>
  </si>
  <si>
    <t xml:space="preserve">Project_Pipeline P013</t>
  </si>
  <si>
    <t xml:space="preserve">Low-Medium</t>
  </si>
  <si>
    <t xml:space="preserve">≈6,180</t>
  </si>
  <si>
    <t xml:space="preserve">Kleine Pax ₹376cr/700 jobs (₹0.54cr/job); HSS Textile ₹740cr/800 jobs (₹0.93cr/job)</t>
  </si>
  <si>
    <t xml:space="preserve">Project_Pipeline P016,P019</t>
  </si>
  <si>
    <t xml:space="preserve">≈9,800</t>
  </si>
  <si>
    <t xml:space="preserve">Tejas Networks ₹542.19cr/1,312 jobs (₹0.41cr/job)</t>
  </si>
  <si>
    <t xml:space="preserve">Project_Pipeline P014</t>
  </si>
  <si>
    <t xml:space="preserve">Coal Gasification / Core Chemicals</t>
  </si>
  <si>
    <t xml:space="preserve">Very High</t>
  </si>
  <si>
    <t xml:space="preserve">≈610</t>
  </si>
  <si>
    <t xml:space="preserve">Adani Enterprises ₹70,000cr/10,000 jobs (₹7.0cr/job); Maharashtra mega-basket ₹89,731cr/20,000 jobs (₹4.49cr/job)</t>
  </si>
  <si>
    <t xml:space="preserve">Project_Pipeline P022,P025</t>
  </si>
  <si>
    <t xml:space="preserve">Battery Materials (Graphite Anode)</t>
  </si>
  <si>
    <t xml:space="preserve">≈1,000</t>
  </si>
  <si>
    <t xml:space="preserve">Graphite India ₹4,651cr/1,166 jobs (₹3.99cr/job)</t>
  </si>
  <si>
    <t xml:space="preserve">Project_Pipeline P023</t>
  </si>
  <si>
    <t xml:space="preserve">≈8,890</t>
  </si>
  <si>
    <t xml:space="preserve">Bagmane Constructions ₹494.65cr/1,100 jobs (₹0.45cr/job)</t>
  </si>
  <si>
    <t xml:space="preserve">Project_Pipeline P017</t>
  </si>
  <si>
    <t xml:space="preserve">FMCG / Consumer Products</t>
  </si>
  <si>
    <t xml:space="preserve">≈2,920</t>
  </si>
  <si>
    <t xml:space="preserve">Reliance Consumer Products ₹1,622cr/1,200 jobs (₹1.35cr/job); Karnataka Bangaru Sugars ₹443.5cr/950 jobs (₹0.47cr/job — blended differently per labour mix)</t>
  </si>
  <si>
    <t xml:space="preserve">Project_Pipeline P015,P018</t>
  </si>
  <si>
    <t xml:space="preserve">EV Mobility (Startup-funded manufacturing)</t>
  </si>
  <si>
    <t xml:space="preserve">Medium (funding-based, not pure capex)</t>
  </si>
  <si>
    <t xml:space="preserve">≈7,300</t>
  </si>
  <si>
    <t xml:space="preserve">Euler Motors ₹437.5cr/600 jobs implied (₹0.73cr/job, funding-to-hiring estimate)</t>
  </si>
  <si>
    <t xml:space="preserve">Project_Pipeline P040; Startup_Funding_Tracker</t>
  </si>
  <si>
    <t xml:space="preserve">How to use: This sheet provides the empirical capex-per-job ratios — derived directly from named, dated project disclosures in Project_Pipeline — that calibrate the 'Base Jobs/₹100cr' assumption used throughout Sector_SubSector_Master and Job_Forecast_3_6_12_24M. When new investment announcements are ingested, the system should classify them into one of these sector buckets and apply the blended-average ratio (with the high/low range as the sensitivity band) rather than a single fixed multiplier.</t>
  </si>
  <si>
    <t xml:space="preserve">Historical Trend Comparison (FY2021–FY2026)</t>
  </si>
  <si>
    <t xml:space="preserve">5-year back series used to back-test and validate the forecasting model's elasticity assumptions</t>
  </si>
  <si>
    <t xml:space="preserve">A. FDI INFLOW — 5-YEAR SERIES (US$ Bn)</t>
  </si>
  <si>
    <t xml:space="preserve">FDI (US$ Bn)</t>
  </si>
  <si>
    <t xml:space="preserve">PLI Jobs
Cumulative (lakh)</t>
  </si>
  <si>
    <t xml:space="preserve">Startup Funding
(US$ Bn)</t>
  </si>
  <si>
    <t xml:space="preserve">Naukri JobSpeak
Index (avg)</t>
  </si>
  <si>
    <t xml:space="preserve">GDP Growth %</t>
  </si>
  <si>
    <t xml:space="preserve">Unemployment Rate %</t>
  </si>
  <si>
    <t xml:space="preserve">FY 2022-23</t>
  </si>
  <si>
    <t xml:space="preserve">Sources: DPIIT FDI factsheets; PIB PLI release Dec-2025; Tracxn India Tech Annual Report Apr-2026; Naukri JobSpeak monthly releases; MoSPI GDP estimates Jun-2026; Economic Survey 2025-26.</t>
  </si>
  <si>
    <t xml:space="preserve">Back-test validation: PLI cumulative jobs (col D) compound from 9.8 lakh in FY24 to 14.39 lakh by FY26 — a 47% two-year increase, consistent with the gestation-period S-curve used in Job_Forecast_3_6_12_24M. Naukri JobSpeak Index growth (+97% over FY21-26) correlates with FDI and startup-funding cycles with an observed 2-3 quarter lag, supporting the model's assumption that investment announcements precede hiring by 1-2 quarters on average.</t>
  </si>
  <si>
    <t xml:space="preserve">Alerts &amp; Watchlist — Auto-Flagged High-Growth / High-Risk Regions &amp; Sectors</t>
  </si>
  <si>
    <t xml:space="preserve">Rule-based alerts derived from Vacancy_Gap_Analysis, Job_Forecast, and Hiring_Heatmap_Matrix</t>
  </si>
  <si>
    <t xml:space="preserve">Alert_ID</t>
  </si>
  <si>
    <t xml:space="preserve">Type</t>
  </si>
  <si>
    <t xml:space="preserve">Region / Sector</t>
  </si>
  <si>
    <t xml:space="preserve">Trigger Rule</t>
  </si>
  <si>
    <t xml:space="preserve">Severity</t>
  </si>
  <si>
    <t xml:space="preserve">Recommended Audience</t>
  </si>
  <si>
    <t xml:space="preserve">Status</t>
  </si>
  <si>
    <t xml:space="preserve">A001</t>
  </si>
  <si>
    <t xml:space="preserve">🔴 Critical Skill Shortage</t>
  </si>
  <si>
    <t xml:space="preserve">AI/ML — Karnataka &amp; Delhi-NCR</t>
  </si>
  <si>
    <t xml:space="preserve">Vacancy gap &gt;50% of demand AND YoY growth &gt;40%</t>
  </si>
  <si>
    <t xml:space="preserve">Job seekers, Training providers, Policymakers</t>
  </si>
  <si>
    <t xml:space="preserve">Demand:supply ratio of 3.2x in AI/ML roles; gap projected to widen through 2027 without emergency upskilling cohorts.</t>
  </si>
  <si>
    <t xml:space="preserve">Active</t>
  </si>
  <si>
    <t xml:space="preserve">A002</t>
  </si>
  <si>
    <t xml:space="preserve">Semiconductors — Gujarat &amp; UP</t>
  </si>
  <si>
    <t xml:space="preserve">Vacancy gap &gt;60% AND new fab capacity &gt;₹100,000cr in pipeline</t>
  </si>
  <si>
    <t xml:space="preserve">Policymakers, Staffing firms, Universities</t>
  </si>
  <si>
    <t xml:space="preserve">Gujarat alone has ₹128,600cr in semiconductor pipeline investment against a fab-trained talent base of just ~3,100 workers nationally.</t>
  </si>
  <si>
    <t xml:space="preserve">A003</t>
  </si>
  <si>
    <t xml:space="preserve">🟢 High-Growth Opportunity</t>
  </si>
  <si>
    <t xml:space="preserve">EV Manufacturing — Tamil Nadu</t>
  </si>
  <si>
    <t xml:space="preserve">Pipeline investment growth &gt;25% YoY AND sector elasticity &gt;2.0x multiplier</t>
  </si>
  <si>
    <t xml:space="preserve">Job seekers, Recruiters, Investors</t>
  </si>
  <si>
    <t xml:space="preserve">TN's EV component cluster (Samsung/Foxconn/Flex ecosystem) is on track to add ~15,000+ engineering &amp; operations jobs over 18 months.</t>
  </si>
  <si>
    <t xml:space="preserve">A004</t>
  </si>
  <si>
    <t xml:space="preserve">Hospitality — Pan-India</t>
  </si>
  <si>
    <t xml:space="preserve">Naukri JobSpeak YoY &gt;20% for 3+ consecutive monthly releases</t>
  </si>
  <si>
    <t xml:space="preserve">Job seekers, Recruiters</t>
  </si>
  <si>
    <t xml:space="preserve">Hospitality has led non-IT hiring growth at +21% YoY (Mar-2026), sustained across Jan-Mar 2026 releases.</t>
  </si>
  <si>
    <t xml:space="preserve">A005</t>
  </si>
  <si>
    <t xml:space="preserve">🟡 Watch — Possible Overheating</t>
  </si>
  <si>
    <t xml:space="preserve">Karnataka GIM Investment Pledges</t>
  </si>
  <si>
    <t xml:space="preserve">Announced jobs target &gt;5x the state's annual skilled-graduate output</t>
  </si>
  <si>
    <t xml:space="preserve">Policymakers, Investors</t>
  </si>
  <si>
    <t xml:space="preserve">The ₹10.27L cr / 6 lakh jobs GIM pledge significantly exceeds Karnataka's annual skilled-workforce output; execution risk is material.</t>
  </si>
  <si>
    <t xml:space="preserve">A006</t>
  </si>
  <si>
    <t xml:space="preserve">🔵 Structural Decline</t>
  </si>
  <si>
    <t xml:space="preserve">Traditional Branch Banking — Pan-India</t>
  </si>
  <si>
    <t xml:space="preserve">YoY hiring growth &lt;-10% for 2+ consecutive releases</t>
  </si>
  <si>
    <t xml:space="preserve">Job seekers, Staffing firms, Policymakers</t>
  </si>
  <si>
    <t xml:space="preserve">BFSI traditional roles down 15% YoY (Jan-2026); workers should be proactively reskilled into digital/relationship-banking tracks.</t>
  </si>
  <si>
    <t xml:space="preserve">A007</t>
  </si>
  <si>
    <t xml:space="preserve">Food Processing — Multi-state (MP/Punjab/Bihar)</t>
  </si>
  <si>
    <t xml:space="preserve">PLI scheme target achievement &gt;130%</t>
  </si>
  <si>
    <t xml:space="preserve">Job seekers, MSMEs, Recruiters</t>
  </si>
  <si>
    <t xml:space="preserve">PLISFPI has already exceeded its FY27 job target (339,000 vs 250,000 target, 136%) — among the fastest-maturing PLI sectors.</t>
  </si>
  <si>
    <t xml:space="preserve">A008</t>
  </si>
  <si>
    <t xml:space="preserve">🟡 Watch — Gestation Risk</t>
  </si>
  <si>
    <t xml:space="preserve">Semiconductors — National</t>
  </si>
  <si>
    <t xml:space="preserve">Capital intensity &gt;₹150cr/job AND gestation &gt;15 months</t>
  </si>
  <si>
    <t xml:space="preserve">Investors, Policymakers</t>
  </si>
  <si>
    <t xml:space="preserve">High capex-per-job ratios (up to ₹17.5cr/job) mean headline investment figures should not be read as proportionate near-term job creation.</t>
  </si>
  <si>
    <t xml:space="preserve">A009</t>
  </si>
  <si>
    <t xml:space="preserve">AI Infrastructure Startups — Mumbai/Bengaluru</t>
  </si>
  <si>
    <t xml:space="preserve">Startup funding YoY &gt;40% AND deal count rising</t>
  </si>
  <si>
    <t xml:space="preserve">AI infra/deeptech funding +45% YoY in FY26, anchored by Neysa's $1.2bn Series B — fastest-growing startup category.</t>
  </si>
  <si>
    <t xml:space="preserve">A010</t>
  </si>
  <si>
    <t xml:space="preserve">Entry-level IT Services — Pan-India</t>
  </si>
  <si>
    <t xml:space="preserve">Demand:Supply ratio &lt;1.0x AND sector flat YoY</t>
  </si>
  <si>
    <t xml:space="preserve">Job seekers, Universities</t>
  </si>
  <si>
    <t xml:space="preserve">IT services hiring is flat (+1% YoY) with an entry-level oversupply (0.7-1.0x ratio); freshers should prioritise AI/cloud specialisation.</t>
  </si>
  <si>
    <t xml:space="preserve">A011</t>
  </si>
  <si>
    <t xml:space="preserve">Odisha &amp; Andhra Pradesh — Semiconductor Entry</t>
  </si>
  <si>
    <t xml:space="preserve">New project approval AND first-of-kind regional capability</t>
  </si>
  <si>
    <t xml:space="preserve">Investors, Regional policymakers</t>
  </si>
  <si>
    <t xml:space="preserve">Odisha's RIR Power Electronics SiC fab is India's first — an early-mover signal for compound-semiconductor jobs outside the Gujarat/UP corridor.</t>
  </si>
  <si>
    <t xml:space="preserve">A012</t>
  </si>
  <si>
    <t xml:space="preserve">🟡 Watch — Data Lag</t>
  </si>
  <si>
    <t xml:space="preserve">State-wise FY26 FDI Annexure</t>
  </si>
  <si>
    <t xml:space="preserve">DPIIT full-year state breakdown not yet published as of Jun-2026</t>
  </si>
  <si>
    <t xml:space="preserve">All users</t>
  </si>
  <si>
    <t xml:space="preserve">Current state-wise FDI figures are pro-rated from H1 FY26 data; refresh when DPIIT publishes the full FY26 state annexure.</t>
  </si>
  <si>
    <t xml:space="preserve">Pending Data Refresh</t>
  </si>
  <si>
    <t xml:space="preserve">AI Insights Engine — Natural-Language Output Log</t>
  </si>
  <si>
    <t xml:space="preserve">Each row shows a generated insight statement + the structured inputs that produced it (full traceability)</t>
  </si>
  <si>
    <t xml:space="preserve">Insight_ID</t>
  </si>
  <si>
    <t xml:space="preserve">Generated Insight (Natural Language)</t>
  </si>
  <si>
    <t xml:space="preserve">Sector(s)</t>
  </si>
  <si>
    <t xml:space="preserve">Region(s)</t>
  </si>
  <si>
    <t xml:space="preserve">Traceable Inputs (sheet!cell logic)</t>
  </si>
  <si>
    <t xml:space="preserve">I001</t>
  </si>
  <si>
    <t xml:space="preserve">Upcoming EV and electronics manufacturing investments in Tamil Nadu — anchored by the Samsung/Foxconn/Flex supplier ecosystem — are expected to generate approximately 15,800 engineering and operations jobs over the next 18 months, with confidence widening to a range of 11,900-19,000 jobs given typical PLI execution variance.</t>
  </si>
  <si>
    <t xml:space="preserve">Automobiles/EV, Electronics</t>
  </si>
  <si>
    <t xml:space="preserve">12-18 months</t>
  </si>
  <si>
    <t xml:space="preserve">Job_Forecast_3_6_12_24M (TN rows) + Investment_to_Employment auto/electronics ratios + Vacancy_Gap_Analysis TN gap rows</t>
  </si>
  <si>
    <t xml:space="preserve">I002</t>
  </si>
  <si>
    <t xml:space="preserve">Gujarat's semiconductor corridor (Dholera-Sanand-Surat) is on track to create 8,200 fab and ATMP jobs by month-24, but only ~20% of this run-rate (roughly 1,640 jobs) will materialise by month-12 due to an 18-month average fab gestation period - recruiters should plan talent pipelines now, not later.</t>
  </si>
  <si>
    <t xml:space="preserve">24 months</t>
  </si>
  <si>
    <t xml:space="preserve">Job_Forecast_3_6_12_24M (Gujarat-Semiconductors row) + Sector_SubSector_Master gestation column</t>
  </si>
  <si>
    <t xml:space="preserve">I003</t>
  </si>
  <si>
    <t xml:space="preserve">AI/ML hiring in Bengaluru and Delhi-NCR is growing faster than the trained-talent supply can absorb - the demand:supply ratio of 3.2x is the most acute skill gap nationally, and without emergency upskilling cohorts the gap is projected to exceed 19,000 unfilled roles by Q4 2026.</t>
  </si>
  <si>
    <t xml:space="preserve">AI/ML &amp; Data Science</t>
  </si>
  <si>
    <t xml:space="preserve">Karnataka, Delhi-NCR</t>
  </si>
  <si>
    <t xml:space="preserve">6-12 months</t>
  </si>
  <si>
    <t xml:space="preserve">Vacancy_Gap_Analysis (AI/ML rows) + Skills_Roles_Demand (AI/ML Engineer row)</t>
  </si>
  <si>
    <t xml:space="preserve">I004</t>
  </si>
  <si>
    <t xml:space="preserve">Food processing remains India's most labour-efficient PLI sector: at ₹0.96 crore investment per direct job (versus ₹7.84 crore for semiconductors), every ₹100 crore of new food-processing investment is estimated to generate roughly 3,682 direct jobs - the highest ratio of any tracked sector.</t>
  </si>
  <si>
    <t xml:space="preserve">Multi-state (MP, Punjab, UP, Bihar)</t>
  </si>
  <si>
    <t xml:space="preserve">3-12 months</t>
  </si>
  <si>
    <t xml:space="preserve">Investment_to_Employment (Food Processing row) + PLI_Scheme_Tracker (PLISFPI row)</t>
  </si>
  <si>
    <t xml:space="preserve">I005</t>
  </si>
  <si>
    <t xml:space="preserve">Hospitality is the fastest-growing non-IT hiring sector for three consecutive Naukri JobSpeak releases (+21% YoY as of Mar-2026); seasonal hubs in Goa, Rajasthan and Kerala should expect front-of-house and culinary-role vacancies to outpace trained graduates by roughly 12,000 positions over the next 6 months.</t>
  </si>
  <si>
    <t xml:space="preserve">Goa, Rajasthan, Kerala, Delhi-NCR</t>
  </si>
  <si>
    <t xml:space="preserve">3-6 months</t>
  </si>
  <si>
    <t xml:space="preserve">Skills_Roles_Demand (Hospitality row) + Vacancy_Gap_Analysis (Hospitality row)</t>
  </si>
  <si>
    <t xml:space="preserve">I006</t>
  </si>
  <si>
    <t xml:space="preserve">Karnataka's ₹10.27 lakh crore Global Investors Meet pledge (targeting 6 lakh jobs) carries meaningful execution risk: historical PLI achievement rates across India range from 19% to 136% of original targets, and the state's annual skilled-graduate output covers only a fraction of the pledged hiring scale - treat this as an upper-bound scenario, not a base case.</t>
  </si>
  <si>
    <t xml:space="preserve">24+ months</t>
  </si>
  <si>
    <t xml:space="preserve">Project_Pipeline (P030) + PLI_Scheme_Tracker target-achievement column + Alerts_Watchlist (A005)</t>
  </si>
  <si>
    <t xml:space="preserve">I007</t>
  </si>
  <si>
    <t xml:space="preserve">Traditional branch-banking roles are structurally declining (-15% YoY as of Jan-2026) as digital channels absorb transaction volume; this is not cyclical softness - job seekers and staffing firms in this segment should pivot toward digital-banking, relationship-management and fintech-adjacent roles rather than waiting for a rebound.</t>
  </si>
  <si>
    <t xml:space="preserve">BFSI (Traditional)</t>
  </si>
  <si>
    <t xml:space="preserve">Ongoing structural trend</t>
  </si>
  <si>
    <t xml:space="preserve">Vacancy_Gap_Analysis (BFSI surplus row) + Skills_Roles_Demand (Traditional Branch Banking row)</t>
  </si>
  <si>
    <t xml:space="preserve">I008</t>
  </si>
  <si>
    <t xml:space="preserve">Odisha's first compound-semiconductor fab (RIR Power Electronics, ₹618 crore) signals an early-mover opportunity for engineering talent outside the established Gujarat-UP semiconductor corridor - expect roughly 800 direct-plus-indirect jobs within 12 months, smaller in scale but with limited competing demand for the same skill pool.</t>
  </si>
  <si>
    <t xml:space="preserve">Project_Pipeline (P008) + Investment_to_Employment (Semiconductors row, low-capex-intensity example)</t>
  </si>
  <si>
    <t xml:space="preserve">I009</t>
  </si>
  <si>
    <t xml:space="preserve">Startup-funded EV mobility (Erisha E-Mobility, GreenLine, Euler Motors) is converting capital into jobs faster than traditional capex-heavy auto manufacturing - at an estimated ₹0.55 crore per job versus ₹1.85 crore for conventional auto plants, this segment offers the highest near-term (6-12 month) hiring velocity in the mobility space.</t>
  </si>
  <si>
    <t xml:space="preserve">Delhi-NCR, Maharashtra, Karnataka</t>
  </si>
  <si>
    <t xml:space="preserve">Investment_to_Employment (EV Mobility row) + Startup_Funding_Tracker (EV Mobility sector block)</t>
  </si>
  <si>
    <t xml:space="preserve">I010</t>
  </si>
  <si>
    <t xml:space="preserve">Maharashtra's ₹89,731 crore high-tech mega-project basket (coal gasification, solar cells, electrical steel, graphite anode) is dominated by capital-intensive segments - while it carries the second-largest investment figure in the tracked pipeline, its blended jobs-per-₹100cr ratio is among the lowest, implying job creation will lag the headline investment number by 12-24 months.</t>
  </si>
  <si>
    <t xml:space="preserve">Core Industry / Battery Materials</t>
  </si>
  <si>
    <t xml:space="preserve">12-24 months</t>
  </si>
  <si>
    <t xml:space="preserve">Project_Pipeline (P022-P025) + Investment_to_Employment (Coal Gasification, Battery Materials rows)</t>
  </si>
  <si>
    <t xml:space="preserve">Forecasting Methodology &amp; Core Assumptions</t>
  </si>
  <si>
    <t xml:space="preserve">1. CORE FORECASTING FORMULA</t>
  </si>
  <si>
    <t xml:space="preserve">Base Run-Rate Jobs</t>
  </si>
  <si>
    <t xml:space="preserve">(Pipeline Investment in ₹Cr ÷ 100) × Sector Jobs-per-₹100cr coefficient (Sector_SubSector_Master col E/G, calibrated against Investment_to_Employment empirical ratios).</t>
  </si>
  <si>
    <t xml:space="preserve">Horizon Point Estimate</t>
  </si>
  <si>
    <t xml:space="preserve">Base Run-Rate Jobs × Maturity Fraction(horizon, sector gestation period) — an S-curve that reaches ~50% of run-rate jobs at the sector's stated 'gestation' month, and approaches 100% by month 24-36 depending on capital intensity.</t>
  </si>
  <si>
    <t xml:space="preserve">Confidence Interval (80%)</t>
  </si>
  <si>
    <t xml:space="preserve">Width scales with horizon: ±18-22% at 3 months, ±20-25% at 6 months, ±22-30% at 12 months, ±25-35% at 24 months — derived from observed PLI target-vs-actual variance (19%-136% of target across the 14 schemes tracked in PLI_Scheme_Tracker).</t>
  </si>
  <si>
    <t xml:space="preserve">Direct:Indirect Multiplier</t>
  </si>
  <si>
    <t xml:space="preserve">Sector-specific (Sector_SubSector_Master col F), ranging 1.1x (capital-intensive AI infra) to 2.6x (electronics manufacturing, with deep ancillary-supplier networks). National blended average used as fallback: 1.8x, consistent with PIB's reported 14.39 lakh PLI jobs being a direct+indirect aggregate.</t>
  </si>
  <si>
    <t xml:space="preserve">2. KEY DATA INPUTS &amp; REFRESH CADENCE</t>
  </si>
  <si>
    <t xml:space="preserve">Project Pipeline</t>
  </si>
  <si>
    <t xml:space="preserve">Real-time/event-driven — refreshed whenever a state single-window-clearance committee, PIB, or company IR department issues a new announcement. In production: scheduled scraper + India Investment Grid API polling, suggested cadence = daily.</t>
  </si>
  <si>
    <t xml:space="preserve">FDI Inflows</t>
  </si>
  <si>
    <t xml:space="preserve">Quarterly — DPIIT publishes FDI factsheets with a roughly 1-quarter lag; state-wise annexures lag further (current H1 FY26 data is the latest full state breakdown as of Jun-2026).</t>
  </si>
  <si>
    <t xml:space="preserve">PLI Scheme Performance</t>
  </si>
  <si>
    <t xml:space="preserve">Quarterly-to-annual — PIB issues consolidated PLI updates periodically; the Dec-2025 release (PRID=2230621) is the most recent comprehensive cross-sector figure set.</t>
  </si>
  <si>
    <t xml:space="preserve">Startup Funding</t>
  </si>
  <si>
    <t xml:space="preserve">Monthly/Quarterly — Tracxn and Entrackr publish frequent funding trackers; this workbook uses the Apr-2026 releases (FY26 annual + Q1-2026 quarterly).</t>
  </si>
  <si>
    <t xml:space="preserve">Naukri JobSpeak / Hiring Trends</t>
  </si>
  <si>
    <t xml:space="preserve">Monthly — Naukri publishes JobSpeak indices with sector and city breakdowns approximately 5-7 days after each month-end.</t>
  </si>
  <si>
    <t xml:space="preserve">Macroeconomic Indicators</t>
  </si>
  <si>
    <t xml:space="preserve">Quarterly (GDP/IIP) and Monthly (PMI, inflation) — MoSPI, RBI and HSBC/S&amp;P Global release schedules respectively.</t>
  </si>
  <si>
    <t xml:space="preserve">3. CAPITAL-INTENSITY &amp; ELASTICITY CALIBRATION</t>
  </si>
  <si>
    <t xml:space="preserve">Method</t>
  </si>
  <si>
    <t xml:space="preserve">Sector-level 'capex per direct job' ratios in Investment_to_Employment were back-calculated from real, named project disclosures in Project_Pipeline (e.g., Tata Electronics ₹91,000cr/8,000 jobs; PLISFPI ₹9,207cr/339,000 jobs). Where multiple real examples exist for a sector, a low-high range and blended average are computed; where only one example exists, that single ratio is used with a wider confidence band and 'M' or 'L' confidence flag.</t>
  </si>
  <si>
    <t xml:space="preserve">Limitation</t>
  </si>
  <si>
    <t xml:space="preserve">Capex-per-job ratios vary significantly even within a sector depending on automation level, plant type, and whether the figure is greenfield construction vs. brownfield expansion. Treat sector averages as planning benchmarks, not precise per-project predictors — always cross-check against Project_Pipeline's project-specific figures where available.</t>
  </si>
  <si>
    <t xml:space="preserve">4. VACANCY GAP MODEL</t>
  </si>
  <si>
    <t xml:space="preserve">Current Open Vacancies</t>
  </si>
  <si>
    <t xml:space="preserve">Modelled as: (Sector's national open-roles estimate from Sector_SubSector_Master) × (State's share of national activity in that sector, from FDI/PLI/pipeline weighting in State_City_Master) — calibrated against Naukri JobSpeak's published city/sector hiring-index splits where available.</t>
  </si>
  <si>
    <t xml:space="preserve">Talent Supply</t>
  </si>
  <si>
    <t xml:space="preserve">Blends three components: (a) AISHE/UGC annual graduate output by relevant discipline, (b) NSDC skilling-programme completions, (c) estimated lateral-hire flow from adjacent sectors and returning-NRI/diaspora talent. This workbook does not have row-level access to unpublished AISHE/NSDC microdata, so supply figures are directional estimates — flagged 'M' or lower confidence throughout Vacancy_Gap_Analysis.</t>
  </si>
  <si>
    <t xml:space="preserve">Gap Severity Bands</t>
  </si>
  <si>
    <t xml:space="preserve">Critical: gap &gt;50% of demand. High: 20-50%. Moderate: 8-20%. Low: 0-8%. Surplus: gap is negative (oversupply).</t>
  </si>
  <si>
    <t xml:space="preserve">5. LIMITATIONS &amp; RECOMMENDED LIVE-SYSTEM UPGRADES</t>
  </si>
  <si>
    <t xml:space="preserve">State-wise FDI granularity</t>
  </si>
  <si>
    <t xml:space="preserve">DPIIT's full FY26 state-wise annexure was not yet published as of this workbook's data-cutoff (Jun-2026); current state shares are pro-rated from the H1 FY26 release. Replace with full-year actuals once published.</t>
  </si>
  <si>
    <t xml:space="preserve">PLI sector-job apportionment</t>
  </si>
  <si>
    <t xml:space="preserve">The national PLI total (14.39 lakh jobs) is verified; the sector-by-sector split in PLI_Scheme_Tracker blends verified individual-scheme figures (Food Processing, Automobile, Telecom) with this workbook's pro-rata apportionment for sectors lacking individually published job counts. A production system should pull each ministry's individual PLI dashboard directly.</t>
  </si>
  <si>
    <t xml:space="preserve">Vacancy/Supply granularity</t>
  </si>
  <si>
    <t xml:space="preserve">Talent-supply figures should be replaced with row-level AISHE, NSDC, and AICTE datasets via API integration for audit-grade precision; current figures are directional planning estimates.</t>
  </si>
  <si>
    <t xml:space="preserve">Real-time ingestion</t>
  </si>
  <si>
    <t xml:space="preserve">This is a point-in-time snapshot. A production deployment would connect to: India Investment Grid API, DPIIT FDI portal, state single-window-clearance committee press feeds, PIB RSS feeds, Tracxn/Entrackr/Crunchbase APIs, Naukri JobSpeak data feed, GeM/public-procurement portals, and GSTN e-way-bill data — with the forecasting formulas in Job_Forecast_3_6_12_24M re-running automatically on each refresh.</t>
  </si>
  <si>
    <t xml:space="preserve">Data Sources &amp; Reference Links</t>
  </si>
  <si>
    <t xml:space="preserve">Every external source used in this workbook, with direct links, retrieval context, and reliability rating</t>
  </si>
  <si>
    <t xml:space="preserve">Source / Publisher</t>
  </si>
  <si>
    <t xml:space="preserve">Dataset Used In This Workbook</t>
  </si>
  <si>
    <t xml:space="preserve">Sheet(s) Referencing It</t>
  </si>
  <si>
    <t xml:space="preserve">Date of Data / Article</t>
  </si>
  <si>
    <t xml:space="preserve">Reliability</t>
  </si>
  <si>
    <t xml:space="preserve">Press Information Bureau (PIB) — PLI Scheme Release</t>
  </si>
  <si>
    <t xml:space="preserve">National PLI summary: Rs 1.91L cr outlay, Rs 2.16L cr investment, 14.39L jobs, 836 approved applications across 14 sectors</t>
  </si>
  <si>
    <t xml:space="preserve">PLI_Scheme_Tracker, README, AI_Insights_Log</t>
  </si>
  <si>
    <t xml:space="preserve">Data as on 31-Dec-2025</t>
  </si>
  <si>
    <t xml:space="preserve">https://www.pib.gov.in/PressReleasePage.aspx?PRID=2230621</t>
  </si>
  <si>
    <t xml:space="preserve">Tribune / ANI — PLISFPI Food Processing</t>
  </si>
  <si>
    <t xml:space="preserve">165 approved applications, 274 project sites, 339,000 jobs, Rs 9,207cr investment</t>
  </si>
  <si>
    <t xml:space="preserve">PLI_Scheme_Tracker, Investment_to_Employment, Sector_SubSector_Master</t>
  </si>
  <si>
    <t xml:space="preserve">21-Apr-2026</t>
  </si>
  <si>
    <t xml:space="preserve">Search: PLISFPI 165 applications 339000 jobs Tribune ANI April 2026</t>
  </si>
  <si>
    <t xml:space="preserve">Arthneeti Global — PLI Sector Analysis</t>
  </si>
  <si>
    <t xml:space="preserve">Automobile PLI sales Rs 32,879cr FY25-26; Telecom PLI exports Rs 21,033cr FY25-26</t>
  </si>
  <si>
    <t xml:space="preserve">Sector_SubSector_Master, PLI_Scheme_Tracker</t>
  </si>
  <si>
    <t xml:space="preserve">Search: Arthneeti PLI analysis automobile telecom March 2026</t>
  </si>
  <si>
    <t xml:space="preserve">Drishti IAS — FDI Trends in India</t>
  </si>
  <si>
    <t xml:space="preserve">State-wise FDI share H1 FY26: Maharashtra ~30%, Karnataka $9.4bn, Tamil Nadu $3.6bn, Gujarat 6.4%; country-wise: Singapore 34%, US 18.8%, Mauritius 9.9%</t>
  </si>
  <si>
    <t xml:space="preserve">FDI_Inflow_Tracker, State_City_Master</t>
  </si>
  <si>
    <t xml:space="preserve">Oct-2025 (citing DPIIT H1 FY26 data)</t>
  </si>
  <si>
    <t xml:space="preserve">Search: Drishti IAS FDI Trends India DPIIT H1 FY26</t>
  </si>
  <si>
    <t xml:space="preserve">IBEF — Foreign Direct Investment in India</t>
  </si>
  <si>
    <t xml:space="preserve">Cumulative FDI Apr-2000 to Dec-2025: US$1.14tn; sector shares - Services 16%, Computer Software/Hardware 16%, Trading 7%</t>
  </si>
  <si>
    <t xml:space="preserve">FDI_Inflow_Tracker</t>
  </si>
  <si>
    <t xml:space="preserve">As of 19-May-2026</t>
  </si>
  <si>
    <t xml:space="preserve">https://www.ibef.org/economy/foreign-direct-investment</t>
  </si>
  <si>
    <t xml:space="preserve">India Briefing — FY26 FDI Total</t>
  </si>
  <si>
    <t xml:space="preserve">Total FY25-26 FDI inflow US$58.85bn, +18% YoY</t>
  </si>
  <si>
    <t xml:space="preserve">FDI_Inflow_Tracker, Historical_Trend_Comparison</t>
  </si>
  <si>
    <t xml:space="preserve">Early-Jun-2026</t>
  </si>
  <si>
    <t xml:space="preserve">https://www.india-briefing.com</t>
  </si>
  <si>
    <t xml:space="preserve">Tracxn — India Tech Annual Funding Report 2026</t>
  </si>
  <si>
    <t xml:space="preserve">FY26 total startup funding $11.7bn (-18% YoY); early-stage $4.8bn (+33%); late-stage $5.6bn (-38%); sector splits</t>
  </si>
  <si>
    <t xml:space="preserve">Startup_Funding_Tracker, Historical_Trend_Comparison</t>
  </si>
  <si>
    <t xml:space="preserve">Published 8-Apr-2026 (via Analytics Insight, 9-Apr-2026)</t>
  </si>
  <si>
    <t xml:space="preserve">https://tracxn.com/d/data-reports</t>
  </si>
  <si>
    <t xml:space="preserve">Entrackr — Q1 2026 Funding Report</t>
  </si>
  <si>
    <t xml:space="preserve">Q1-2026 city-wise funding: Mumbai $1.64bn/36 deals (42.4%), Bengaluru $1.21bn/166 deals (31.2%), Delhi-NCR $631.6mn/89 deals; sector deal counts</t>
  </si>
  <si>
    <t xml:space="preserve">Startup_Funding_Tracker, Project_Pipeline</t>
  </si>
  <si>
    <t xml:space="preserve">2-Apr-2026</t>
  </si>
  <si>
    <t xml:space="preserve">https://entrackr.com</t>
  </si>
  <si>
    <t xml:space="preserve">Newskart — Startup Funding Roundup</t>
  </si>
  <si>
    <t xml:space="preserve">EV mobility rounds: Erisha E-Mobility $1.0bn, GreenLine $275mn, Euler Motors Rs 437.5cr</t>
  </si>
  <si>
    <t xml:space="preserve">Project_Pipeline, Startup_Funding_Tracker, Investment_to_Employment</t>
  </si>
  <si>
    <t xml:space="preserve">Search: Newskart Erisha E-Mobility GreenLine Euler Motors March 2026</t>
  </si>
  <si>
    <t xml:space="preserve">Naukri JobSpeak — Monthly Hiring Index</t>
  </si>
  <si>
    <t xml:space="preserve">Sector YoY hiring growth: Hospitality +21%, BPO/ITES +18%, Oil&amp;Gas +15%, Education +15%, Real Estate +14%, BFSI -15%, AI/ML +45% FY26; Index 2858 (Mar-2026, +9% YoY)</t>
  </si>
  <si>
    <t xml:space="preserve">Skills_Roles_Demand, Vacancy_Gap_Analysis, Economic_Indicators, Hiring_Heatmap_Matrix</t>
  </si>
  <si>
    <t xml:space="preserve">Jan-2026 to Apr-2026 releases</t>
  </si>
  <si>
    <t xml:space="preserve">https://www.naukri.com/jobspeak</t>
  </si>
  <si>
    <t xml:space="preserve">Deccan Herald — Karnataka Investment Approvals</t>
  </si>
  <si>
    <t xml:space="preserve">JSW Steel Rs 4,600cr Ballari plant; Volvo Rs 1,500cr Bengaluru North; 17 projects worth Rs 18,430cr creating 15,000+ jobs</t>
  </si>
  <si>
    <t xml:space="preserve">Project_Pipeline, Top_Employers_Hiring</t>
  </si>
  <si>
    <t xml:space="preserve">https://www.deccanherald.com/india/karnataka</t>
  </si>
  <si>
    <t xml:space="preserve">Business Standard / PTI — Karnataka SLSWCC</t>
  </si>
  <si>
    <t xml:space="preserve">Rs 4,824.31cr approved, 14,525 jobs across 37 new industries + 2 expansions, 158th SLSWCC meeting</t>
  </si>
  <si>
    <t xml:space="preserve">https://www.business-standard.com/industry/news</t>
  </si>
  <si>
    <t xml:space="preserve">Careers360 / PTI — Karnataka SHLCC</t>
  </si>
  <si>
    <t xml:space="preserve">Rs 27,607.26cr, 8,704 direct jobs, 13 proposals, 66th SHLCC meeting incl. Vayu Assets, Tejas Networks, Reliance Consumer Products</t>
  </si>
  <si>
    <t xml:space="preserve">https://news.careers360.com</t>
  </si>
  <si>
    <t xml:space="preserve">Deccan Chronicle — Maharashtra Mega Projects</t>
  </si>
  <si>
    <t xml:space="preserve">Rs 89,731cr basket (5 projects, ~20,000 jobs): Adani coal gasification Rs 70,000cr/10,000 jobs, Graphite India Rs 4,651cr/1,166 jobs, HS Hyosung Rs 1,740cr/400 jobs</t>
  </si>
  <si>
    <t xml:space="preserve">Project_Pipeline, Top_Employers_Hiring, Investment_to_Employment</t>
  </si>
  <si>
    <t xml:space="preserve">Late-May 2026</t>
  </si>
  <si>
    <t xml:space="preserve">https://www.deccanchronicle.com/nation</t>
  </si>
  <si>
    <t xml:space="preserve">News on Air (PIB-affiliated) — Maharashtra Rs 1.35L cr Approval</t>
  </si>
  <si>
    <t xml:space="preserve">17 of 19 mega/ultra-mega projects approved, Rs 1,35,371cr, ~1 lakh direct+indirect jobs</t>
  </si>
  <si>
    <t xml:space="preserve">Project_Pipeline, Historical_Trend_Comparison</t>
  </si>
  <si>
    <t xml:space="preserve">https://www.newsonair.gov.in</t>
  </si>
  <si>
    <t xml:space="preserve">BIS Infotech / IMARC Engineering — Semiconductor Tracker</t>
  </si>
  <si>
    <t xml:space="preserve">Tata-ASML Dholera fab (~$11bn); Crystal Matrix Rs 2,800cr/1,400 jobs; Suchi Semicon Rs 1,136cr/830 jobs; HCL-Foxconn display ATMP; RIR Power SiC fab Odisha Rs 618cr</t>
  </si>
  <si>
    <t xml:space="preserve">Project_Pipeline, Sector_SubSector_Master, State_City_Master, Investment_to_Employment</t>
  </si>
  <si>
    <t xml:space="preserve">Apr-May 2026</t>
  </si>
  <si>
    <t xml:space="preserve">Search: IMARC Engineering India semiconductor site selection May 2026</t>
  </si>
  <si>
    <t xml:space="preserve">Blackridge Research — India Semiconductor Tracker</t>
  </si>
  <si>
    <t xml:space="preserve">Kaynes Semicon Rs 3,300cr Sanand; CG Power/CG Semi OSAT Rs 7,600cr Sanand, operational Aug-2025</t>
  </si>
  <si>
    <t xml:space="preserve">Project_Pipeline, State_City_Master</t>
  </si>
  <si>
    <t xml:space="preserve">May-2026</t>
  </si>
  <si>
    <t xml:space="preserve">Search: Blackridge Research India semiconductor fab tracker May 2026</t>
  </si>
  <si>
    <t xml:space="preserve">Ministry of Statistics &amp; Programme Implementation (MoSPI)</t>
  </si>
  <si>
    <t xml:space="preserve">FY26 Real GDP growth 7.7% (Q4 7.8%); GFCF growth 8.2%; new 2022-23 GDP base year</t>
  </si>
  <si>
    <t xml:space="preserve">Economic_Indicators, Historical_Trend_Comparison</t>
  </si>
  <si>
    <t xml:space="preserve">Provisional Estimates released 5-Jun-2026</t>
  </si>
  <si>
    <t xml:space="preserve">https://www.mospi.gov.in</t>
  </si>
  <si>
    <t xml:space="preserve">Economic Survey 2025-26 (Ministry of Finance / PIB)</t>
  </si>
  <si>
    <t xml:space="preserve">Unemployment rate 3.2% (2023-24 PLFS), declining to 4.9% in Q3 FY26; female LFP +18pp; NCS 5.9cr job-seekers, 53L providers, 8cr vacancies mobilised</t>
  </si>
  <si>
    <t xml:space="preserve">Briefed 29-Jan-2026</t>
  </si>
  <si>
    <t xml:space="preserve">https://static.pib.gov.in/WriteReadData/specificdocs/documents/2026/jan/doc2026130774501.pdf</t>
  </si>
  <si>
    <t xml:space="preserve">IBEF — Indian Economy Overview</t>
  </si>
  <si>
    <t xml:space="preserve">IIP index 173.2 (Mar-2026, +4.1% YoY); Manufacturing PMI 53.9 (Mar-2026); exports US$825.3bn FY25, US$418.5bn H1 FY26</t>
  </si>
  <si>
    <t xml:space="preserve">Economic_Indicators</t>
  </si>
  <si>
    <t xml:space="preserve">~3 weeks before Jun-2026 cutoff</t>
  </si>
  <si>
    <t xml:space="preserve">https://www.ibef.org/economy/indian-economy-overview</t>
  </si>
  <si>
    <t xml:space="preserve">DPIIT (Dept. for Promotion of Industry &amp; Internal Trade)</t>
  </si>
  <si>
    <t xml:space="preserve">Underlying primary source for all FDI factsheets, state-wise and sector-wise equity-inflow data cited via secondary compilations above</t>
  </si>
  <si>
    <t xml:space="preserve">Various — H1 FY26 latest full breakdown</t>
  </si>
  <si>
    <t xml:space="preserve">https://dpiit.gov.in/publications/fdi-statistics</t>
  </si>
  <si>
    <t xml:space="preserve">India Investment Grid (IIG)</t>
  </si>
  <si>
    <t xml:space="preserve">Reference platform for live project-pipeline and investment-opportunity data (architecture reference for Project_Pipeline sheet design)</t>
  </si>
  <si>
    <t xml:space="preserve">Project_Pipeline, README, Methodology_Assumptions</t>
  </si>
  <si>
    <t xml:space="preserve">Platform reference</t>
  </si>
  <si>
    <t xml:space="preserve">https://indiainvestmentgrid.gov.in</t>
  </si>
  <si>
    <t xml:space="preserve">National Skill Development Corporation (NSDC)</t>
  </si>
  <si>
    <t xml:space="preserve">Reference source for skilling-completion data underlying Vacancy_Gap_Analysis talent-supply estimates</t>
  </si>
  <si>
    <t xml:space="preserve">Vacancy_Gap_Analysis, Methodology_Assumptions</t>
  </si>
  <si>
    <t xml:space="preserve">https://www.nsdcindia.org</t>
  </si>
  <si>
    <t xml:space="preserve">Note on link format: Where a direct stable deep-link was retrievable, it is provided as a full URL. Where the underlying article does not have a single stable canonical URL retrievable at compile-time (common with news-aggregator and AMP-cached pages), a precise search string is provided instead so the exact source can be located. Government primary sources (PIB, DPIIT, MoSPI, IBEF) are the highest-reliability tier; news-wire-reported state investment approvals (PTI/ANI via Deccan Herald, Business Standard, Careers360) are treated as High reliability given direct sourcing from government clearance-committee statements.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</si>
</sst>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"/>
    <numFmt numFmtId="166" formatCode="\$#,##0.00"/>
    <numFmt numFmtId="167" formatCode="\$#,##0.0"/>
    <numFmt numFmtId="168" formatCode="0.0"/>
    <numFmt numFmtId="169" formatCode="#,##0.0"/>
    <numFmt numFmtId="170" formatCode="0.0\x"/>
    <numFmt numFmtId="171" formatCode="0"/>
    <numFmt numFmtId="172" formatCode="\+0\%;\-0\%;0\%"/>
    <numFmt numFmtId="173" formatCode="0.00\%"/>
    <numFmt numFmtId="174" formatCode="0.0\%"/>
    <numFmt numFmtId="175" formatCode="\+0.0%;\-0.0%"/>
    <numFmt numFmtId="176" formatCode="\$#,##0.00\T"/>
    <numFmt numFmtId="177" formatCode="0.0%"/>
    <numFmt numFmtId="178" formatCode="\₹#,##0.00&quot; cr&quot;"/>
    <numFmt numFmtId="179" formatCode="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2545"/>
      <name val="Calibri"/>
      <family val="0"/>
      <charset val="1"/>
    </font>
    <font>
      <i val="true"/>
      <sz val="10"/>
      <color rgb="FF5A6472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0B2545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20"/>
      <color rgb="FF0B2545"/>
      <name val="Calibri"/>
      <family val="0"/>
      <charset val="1"/>
    </font>
    <font>
      <i val="true"/>
      <sz val="8"/>
      <color rgb="FF7A828C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2"/>
      <color rgb="FF0B2545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0B2545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color rgb="FF000000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F7173"/>
        <bgColor rgb="FF008080"/>
      </patternFill>
    </fill>
    <fill>
      <patternFill patternType="solid">
        <fgColor rgb="FFF4F6F8"/>
        <bgColor rgb="FFFFF6E8"/>
      </patternFill>
    </fill>
    <fill>
      <patternFill patternType="solid">
        <fgColor rgb="FF0B2545"/>
        <bgColor rgb="FF333333"/>
      </patternFill>
    </fill>
    <fill>
      <patternFill patternType="solid">
        <fgColor rgb="FFFFF6E8"/>
        <bgColor rgb="FFF4F6F8"/>
      </patternFill>
    </fill>
    <fill>
      <patternFill patternType="solid">
        <fgColor rgb="FFFFF6C8"/>
        <bgColor rgb="FFFFF6E8"/>
      </patternFill>
    </fill>
    <fill>
      <patternFill patternType="solid">
        <fgColor rgb="FFC9E8D1"/>
        <bgColor rgb="FFD9EEE0"/>
      </patternFill>
    </fill>
    <fill>
      <patternFill patternType="solid">
        <fgColor rgb="FFFCE8B5"/>
        <bgColor rgb="FFFCE0B5"/>
      </patternFill>
    </fill>
    <fill>
      <patternFill patternType="solid">
        <fgColor rgb="FFF5C6C0"/>
        <bgColor rgb="FFFCE0B5"/>
      </patternFill>
    </fill>
    <fill>
      <patternFill patternType="solid">
        <fgColor rgb="FFDCE1E6"/>
        <bgColor rgb="FFD9D9D9"/>
      </patternFill>
    </fill>
    <fill>
      <patternFill patternType="solid">
        <fgColor rgb="FFFCE0B5"/>
        <bgColor rgb="FFFCE8B5"/>
      </patternFill>
    </fill>
    <fill>
      <patternFill patternType="solid">
        <fgColor rgb="FFD9EEE0"/>
        <bgColor rgb="FFE8F0E0"/>
      </patternFill>
    </fill>
    <fill>
      <patternFill patternType="solid">
        <fgColor rgb="FFBFD8F0"/>
        <bgColor rgb="FFD9D9D9"/>
      </patternFill>
    </fill>
    <fill>
      <patternFill patternType="solid">
        <fgColor rgb="FFE8F0E0"/>
        <bgColor rgb="FFD9EE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1E6"/>
      </left>
      <right style="thin">
        <color rgb="FFDCE1E6"/>
      </right>
      <top style="thin">
        <color rgb="FFDCE1E6"/>
      </top>
      <bottom style="thin">
        <color rgb="FFDCE1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8">
    <dxf>
      <fill>
        <patternFill patternType="solid">
          <fgColor rgb="FF0B2545"/>
          <bgColor rgb="FF000000"/>
        </patternFill>
      </fill>
    </dxf>
    <dxf>
      <fill>
        <patternFill patternType="solid">
          <fgColor rgb="FFF4F6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A8D8B9"/>
          <bgColor rgb="FF000000"/>
        </patternFill>
      </fill>
    </dxf>
    <dxf>
      <fill>
        <patternFill patternType="solid">
          <fgColor rgb="FFB6DFC4"/>
          <bgColor rgb="FF000000"/>
        </patternFill>
      </fill>
    </dxf>
    <dxf>
      <fill>
        <patternFill patternType="solid">
          <fgColor rgb="FFD1EBDA"/>
          <bgColor rgb="FF000000"/>
        </patternFill>
      </fill>
    </dxf>
    <dxf>
      <fill>
        <patternFill patternType="solid">
          <fgColor rgb="FFD5ECDD"/>
          <bgColor rgb="FF000000"/>
        </patternFill>
      </fill>
    </dxf>
    <dxf>
      <fill>
        <patternFill patternType="solid">
          <fgColor rgb="FFD7EDDF"/>
          <bgColor rgb="FF000000"/>
        </patternFill>
      </fill>
    </dxf>
    <dxf>
      <fill>
        <patternFill patternType="solid">
          <fgColor rgb="FFDBEFE2"/>
          <bgColor rgb="FF000000"/>
        </patternFill>
      </fill>
    </dxf>
    <dxf>
      <fill>
        <patternFill patternType="solid">
          <fgColor rgb="FFDDF0E3"/>
          <bgColor rgb="FF000000"/>
        </patternFill>
      </fill>
    </dxf>
    <dxf>
      <fill>
        <patternFill patternType="solid">
          <fgColor rgb="FFDFF1E5"/>
          <bgColor rgb="FF000000"/>
        </patternFill>
      </fill>
    </dxf>
    <dxf>
      <fill>
        <patternFill patternType="solid">
          <fgColor rgb="FFE1F2E7"/>
          <bgColor rgb="FF000000"/>
        </patternFill>
      </fill>
    </dxf>
    <dxf>
      <fill>
        <patternFill patternType="solid">
          <fgColor rgb="FFE2F2E8"/>
          <bgColor rgb="FF000000"/>
        </patternFill>
      </fill>
    </dxf>
    <dxf>
      <fill>
        <patternFill patternType="solid">
          <fgColor rgb="FFE4F3EA"/>
          <bgColor rgb="FF000000"/>
        </patternFill>
      </fill>
    </dxf>
    <dxf>
      <fill>
        <patternFill patternType="solid">
          <fgColor rgb="FFE6F4EB"/>
          <bgColor rgb="FF000000"/>
        </patternFill>
      </fill>
    </dxf>
    <dxf>
      <fill>
        <patternFill patternType="solid">
          <fgColor rgb="FFE8F5ED"/>
          <bgColor rgb="FF000000"/>
        </patternFill>
      </fill>
    </dxf>
    <dxf>
      <fill>
        <patternFill patternType="solid">
          <fgColor rgb="FFEAF6EE"/>
          <bgColor rgb="FF000000"/>
        </patternFill>
      </fill>
    </dxf>
    <dxf>
      <fill>
        <patternFill patternType="solid">
          <fgColor rgb="FFEEF8F1"/>
          <bgColor rgb="FF000000"/>
        </patternFill>
      </fill>
    </dxf>
    <dxf>
      <fill>
        <patternFill patternType="solid">
          <fgColor rgb="FFF0F9F3"/>
          <bgColor rgb="FF000000"/>
        </patternFill>
      </fill>
    </dxf>
    <dxf>
      <fill>
        <patternFill patternType="solid">
          <fgColor rgb="FFF2A6A0"/>
          <bgColor rgb="FF000000"/>
        </patternFill>
      </fill>
    </dxf>
    <dxf>
      <fill>
        <patternFill patternType="solid">
          <fgColor rgb="FFF2F9F5"/>
          <bgColor rgb="FF000000"/>
        </patternFill>
      </fill>
    </dxf>
    <dxf>
      <fill>
        <patternFill patternType="solid">
          <fgColor rgb="FFF4FAF6"/>
          <bgColor rgb="FF000000"/>
        </patternFill>
      </fill>
    </dxf>
    <dxf>
      <fill>
        <patternFill patternType="solid">
          <fgColor rgb="FFF6FBF8"/>
          <bgColor rgb="FF000000"/>
        </patternFill>
      </fill>
    </dxf>
    <dxf>
      <fill>
        <patternFill patternType="solid">
          <fgColor rgb="FFF8FCF9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CFEFC"/>
          <bgColor rgb="FF000000"/>
        </patternFill>
      </fill>
    </dxf>
    <dxf>
      <fill>
        <patternFill patternType="solid">
          <fgColor rgb="FFFEFFFE"/>
          <bgColor rgb="FF000000"/>
        </patternFill>
      </fill>
    </dxf>
    <dxf>
      <fill>
        <patternFill patternType="solid">
          <fgColor rgb="FF7A828C"/>
          <bgColor rgb="FF000000"/>
        </patternFill>
      </fill>
    </dxf>
    <dxf>
      <fill>
        <patternFill patternType="solid">
          <fgColor rgb="FF0F7173"/>
          <bgColor rgb="FF000000"/>
        </patternFill>
      </fill>
    </dxf>
    <dxf>
      <fill>
        <patternFill patternType="solid">
          <fgColor rgb="FF80B4B5"/>
          <bgColor rgb="FF000000"/>
        </patternFill>
      </fill>
    </dxf>
    <dxf>
      <fill>
        <patternFill patternType="solid">
          <fgColor rgb="FF90BDBE"/>
          <bgColor rgb="FF000000"/>
        </patternFill>
      </fill>
    </dxf>
    <dxf>
      <fill>
        <patternFill patternType="solid">
          <fgColor rgb="FFB0D0D1"/>
          <bgColor rgb="FF000000"/>
        </patternFill>
      </fill>
    </dxf>
    <dxf>
      <fill>
        <patternFill patternType="solid">
          <fgColor rgb="FFCCE1E2"/>
          <bgColor rgb="FF000000"/>
        </patternFill>
      </fill>
    </dxf>
    <dxf>
      <fill>
        <patternFill patternType="solid">
          <fgColor rgb="FFD4E6E6"/>
          <bgColor rgb="FF000000"/>
        </patternFill>
      </fill>
    </dxf>
    <dxf>
      <fill>
        <patternFill patternType="solid">
          <fgColor rgb="FFDEECEC"/>
          <bgColor rgb="FF000000"/>
        </patternFill>
      </fill>
    </dxf>
    <dxf>
      <fill>
        <patternFill patternType="solid">
          <fgColor rgb="FFE1EEEE"/>
          <bgColor rgb="FF000000"/>
        </patternFill>
      </fill>
    </dxf>
    <dxf>
      <fill>
        <patternFill patternType="solid">
          <fgColor rgb="FFE8F2F2"/>
          <bgColor rgb="FF000000"/>
        </patternFill>
      </fill>
    </dxf>
    <dxf>
      <fill>
        <patternFill patternType="solid">
          <fgColor rgb="FFEFF6F6"/>
          <bgColor rgb="FF000000"/>
        </patternFill>
      </fill>
    </dxf>
    <dxf>
      <fill>
        <patternFill patternType="solid">
          <fgColor rgb="FFF1F7F7"/>
          <bgColor rgb="FF000000"/>
        </patternFill>
      </fill>
    </dxf>
    <dxf>
      <fill>
        <patternFill patternType="solid">
          <fgColor rgb="FFF4F8F9"/>
          <bgColor rgb="FF000000"/>
        </patternFill>
      </fill>
    </dxf>
    <dxf>
      <fill>
        <patternFill patternType="solid">
          <fgColor rgb="FFF6FAFA"/>
          <bgColor rgb="FF000000"/>
        </patternFill>
      </fill>
    </dxf>
    <dxf>
      <fill>
        <patternFill patternType="solid">
          <fgColor rgb="FFF7FAFA"/>
          <bgColor rgb="FF000000"/>
        </patternFill>
      </fill>
    </dxf>
    <dxf>
      <fill>
        <patternFill patternType="solid">
          <fgColor rgb="FFF8FBFB"/>
          <bgColor rgb="FF000000"/>
        </patternFill>
      </fill>
    </dxf>
    <dxf>
      <fill>
        <patternFill patternType="solid">
          <fgColor rgb="FFF9FCFC"/>
          <bgColor rgb="FF000000"/>
        </patternFill>
      </fill>
    </dxf>
    <dxf>
      <fill>
        <patternFill patternType="solid">
          <fgColor rgb="FFFAFCFC"/>
          <bgColor rgb="FF000000"/>
        </patternFill>
      </fill>
    </dxf>
    <dxf>
      <fill>
        <patternFill patternType="solid">
          <fgColor rgb="FFFCFEFE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FE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9E8D1"/>
          <bgColor rgb="FF000000"/>
        </patternFill>
      </fill>
    </dxf>
    <dxf>
      <fill>
        <patternFill patternType="solid">
          <fgColor rgb="FFF5C6C0"/>
          <bgColor rgb="FF000000"/>
        </patternFill>
      </fill>
    </dxf>
    <dxf>
      <fill>
        <patternFill patternType="solid">
          <fgColor rgb="FFFCE8B5"/>
          <bgColor rgb="FF000000"/>
        </patternFill>
      </fill>
    </dxf>
    <dxf>
      <fill>
        <patternFill patternType="solid">
          <fgColor rgb="FFC2E4CE"/>
          <bgColor rgb="FF000000"/>
        </patternFill>
      </fill>
    </dxf>
    <dxf>
      <fill>
        <patternFill patternType="solid">
          <fgColor rgb="FFA8D3B5"/>
          <bgColor rgb="FF000000"/>
        </patternFill>
      </fill>
    </dxf>
    <dxf>
      <fill>
        <patternFill patternType="solid">
          <fgColor rgb="FFA8D6B7"/>
          <bgColor rgb="FF000000"/>
        </patternFill>
      </fill>
    </dxf>
    <dxf>
      <fill>
        <patternFill patternType="solid">
          <fgColor rgb="FFA9CDAF"/>
          <bgColor rgb="FF000000"/>
        </patternFill>
      </fill>
    </dxf>
    <dxf>
      <fill>
        <patternFill patternType="solid">
          <fgColor rgb="FFA9CFB1"/>
          <bgColor rgb="FF000000"/>
        </patternFill>
      </fill>
    </dxf>
    <dxf>
      <fill>
        <patternFill patternType="solid">
          <fgColor rgb="FFABC4A7"/>
          <bgColor rgb="FF000000"/>
        </patternFill>
      </fill>
    </dxf>
    <dxf>
      <fill>
        <patternFill patternType="solid">
          <fgColor rgb="FFACBA9E"/>
          <bgColor rgb="FF000000"/>
        </patternFill>
      </fill>
    </dxf>
    <dxf>
      <fill>
        <patternFill patternType="solid">
          <fgColor rgb="FFB38C75"/>
          <bgColor rgb="FF000000"/>
        </patternFill>
      </fill>
    </dxf>
    <dxf>
      <fill>
        <patternFill patternType="solid">
          <fgColor rgb="FFB67863"/>
          <bgColor rgb="FF000000"/>
        </patternFill>
      </fill>
    </dxf>
    <dxf>
      <fill>
        <patternFill patternType="solid">
          <fgColor rgb="FFB7725E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D9EEE0"/>
          <bgColor rgb="FF000000"/>
        </patternFill>
      </fill>
    </dxf>
    <dxf>
      <fill>
        <patternFill patternType="solid">
          <fgColor rgb="FFFCE0B5"/>
          <bgColor rgb="FF000000"/>
        </patternFill>
      </fill>
    </dxf>
    <dxf>
      <fill>
        <patternFill patternType="solid">
          <fgColor rgb="FFE8F0E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6E8"/>
      <rgbColor rgb="FFFF00FF"/>
      <rgbColor rgb="FF00FFFF"/>
      <rgbColor rgb="FF800000"/>
      <rgbColor rgb="FF008000"/>
      <rgbColor rgb="FF000080"/>
      <rgbColor rgb="FF808000"/>
      <rgbColor rgb="FF800080"/>
      <rgbColor rgb="FF0F7173"/>
      <rgbColor rgb="FFD9D9D9"/>
      <rgbColor rgb="FF7A828C"/>
      <rgbColor rgb="FF9999FF"/>
      <rgbColor rgb="FFC0504D"/>
      <rgbColor rgb="FFFFF6C8"/>
      <rgbColor rgb="FFE8F0E0"/>
      <rgbColor rgb="FF660066"/>
      <rgbColor rgb="FFFF8080"/>
      <rgbColor rgb="FF0066CC"/>
      <rgbColor rgb="FFBFD8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8"/>
      <rgbColor rgb="FFD9EEE0"/>
      <rgbColor rgb="FFFCE8B5"/>
      <rgbColor rgb="FFC9E8D1"/>
      <rgbColor rgb="FFFCE0B5"/>
      <rgbColor rgb="FFDCE1E6"/>
      <rgbColor rgb="FFF5C6C0"/>
      <rgbColor rgb="FF4A7EBB"/>
      <rgbColor rgb="FF33CCCC"/>
      <rgbColor rgb="FF9BBB59"/>
      <rgbColor rgb="FFF2A93B"/>
      <rgbColor rgb="FFFF8B3D"/>
      <rgbColor rgb="FFFF6600"/>
      <rgbColor rgb="FF5A6472"/>
      <rgbColor rgb="FF878787"/>
      <rgbColor rgb="FF0B2545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Tracked-Sector Job Forecast by Horizon (with 80% CI range)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Dashboard!B11</c:f>
              <c:strCache>
                <c:ptCount val="1"/>
                <c:pt idx="0">
                  <c:v>Point Estimate (Jobs)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Dashboard!$A$12:$A$15</c:f>
              <c:strCache>
                <c:ptCount val="4"/>
                <c:pt idx="0">
                  <c:v>3 Months</c:v>
                </c:pt>
                <c:pt idx="1">
                  <c:v>6 Months</c:v>
                </c:pt>
                <c:pt idx="2">
                  <c:v>12 Months</c:v>
                </c:pt>
                <c:pt idx="3">
                  <c:v>24 Months</c:v>
                </c:pt>
              </c:strCache>
            </c:strRef>
          </c:cat>
          <c:val>
            <c:numRef>
              <c:f>Dashboard!$B$12:$B$15</c:f>
              <c:numCache>
                <c:formatCode>#,##0</c:formatCode>
                <c:ptCount val="4"/>
                <c:pt idx="0">
                  <c:v>5650.094394</c:v>
                </c:pt>
                <c:pt idx="1">
                  <c:v>14356.797924</c:v>
                </c:pt>
                <c:pt idx="2">
                  <c:v>33259.731722</c:v>
                </c:pt>
                <c:pt idx="3">
                  <c:v>83081.6182</c:v>
                </c:pt>
              </c:numCache>
            </c:numRef>
          </c:val>
        </c:ser>
        <c:ser>
          <c:idx val="1"/>
          <c:order val="1"/>
          <c:tx>
            <c:strRef>
              <c:f>Dashboard!C11</c:f>
              <c:strCache>
                <c:ptCount val="1"/>
                <c:pt idx="0">
                  <c:v>80% CI Low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Dashboard!$A$12:$A$15</c:f>
              <c:strCache>
                <c:ptCount val="4"/>
                <c:pt idx="0">
                  <c:v>3 Months</c:v>
                </c:pt>
                <c:pt idx="1">
                  <c:v>6 Months</c:v>
                </c:pt>
                <c:pt idx="2">
                  <c:v>12 Months</c:v>
                </c:pt>
                <c:pt idx="3">
                  <c:v>24 Months</c:v>
                </c:pt>
              </c:strCache>
            </c:strRef>
          </c:cat>
          <c:val>
            <c:numRef>
              <c:f>Dashboard!$C$12:$C$15</c:f>
              <c:numCache>
                <c:formatCode>#,##0</c:formatCode>
                <c:ptCount val="4"/>
                <c:pt idx="0">
                  <c:v>4633.07740308</c:v>
                </c:pt>
                <c:pt idx="1">
                  <c:v>11485.4383392</c:v>
                </c:pt>
                <c:pt idx="2">
                  <c:v>25942.59074316</c:v>
                </c:pt>
                <c:pt idx="3">
                  <c:v>62311.21365</c:v>
                </c:pt>
              </c:numCache>
            </c:numRef>
          </c:val>
        </c:ser>
        <c:ser>
          <c:idx val="2"/>
          <c:order val="2"/>
          <c:tx>
            <c:strRef>
              <c:f>Dashboard!D11</c:f>
              <c:strCache>
                <c:ptCount val="1"/>
                <c:pt idx="0">
                  <c:v>80% CI High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Dashboard!$A$12:$A$15</c:f>
              <c:strCache>
                <c:ptCount val="4"/>
                <c:pt idx="0">
                  <c:v>3 Months</c:v>
                </c:pt>
                <c:pt idx="1">
                  <c:v>6 Months</c:v>
                </c:pt>
                <c:pt idx="2">
                  <c:v>12 Months</c:v>
                </c:pt>
                <c:pt idx="3">
                  <c:v>24 Months</c:v>
                </c:pt>
              </c:strCache>
            </c:strRef>
          </c:cat>
          <c:val>
            <c:numRef>
              <c:f>Dashboard!$D$12:$D$15</c:f>
              <c:numCache>
                <c:formatCode>#,##0</c:formatCode>
                <c:ptCount val="4"/>
                <c:pt idx="0">
                  <c:v>6893.11516068</c:v>
                </c:pt>
                <c:pt idx="1">
                  <c:v>17945.997405</c:v>
                </c:pt>
                <c:pt idx="2">
                  <c:v>43237.6512386</c:v>
                </c:pt>
                <c:pt idx="3">
                  <c:v>112160.18457</c:v>
                </c:pt>
              </c:numCache>
            </c:numRef>
          </c:val>
        </c:ser>
        <c:gapWidth val="150"/>
        <c:overlap val="0"/>
        <c:axId val="40377690"/>
        <c:axId val="85166584"/>
      </c:barChart>
      <c:catAx>
        <c:axId val="403776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Horizon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166584"/>
        <c:crosses val="autoZero"/>
        <c:auto val="1"/>
        <c:lblAlgn val="ctr"/>
        <c:lblOffset val="100"/>
        <c:noMultiLvlLbl val="0"/>
      </c:catAx>
      <c:valAx>
        <c:axId val="851665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Jobs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776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Naukri JobSpeak Index vs GDP Growth (FY21–FY26)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Historical_Trend_Comparison!F5</c:f>
              <c:strCache>
                <c:ptCount val="1"/>
                <c:pt idx="0">
                  <c:v>Naukri JobSpeak
Index (avg)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Historical_Trend_Comparison!$A$6:$A$11</c:f>
              <c:strCache>
                <c:ptCount val="6"/>
                <c:pt idx="0">
                  <c:v>FY 2020-21</c:v>
                </c:pt>
                <c:pt idx="1">
                  <c:v>FY 2021-22</c:v>
                </c:pt>
                <c:pt idx="2">
                  <c:v>FY 2022-23</c:v>
                </c:pt>
                <c:pt idx="3">
                  <c:v>FY 2023-24</c:v>
                </c:pt>
                <c:pt idx="4">
                  <c:v>FY 2024-25</c:v>
                </c:pt>
                <c:pt idx="5">
                  <c:v>FY 2025-26</c:v>
                </c:pt>
              </c:strCache>
            </c:strRef>
          </c:cat>
          <c:val>
            <c:numRef>
              <c:f>Historical_Trend_Comparison!$F$6:$F$11</c:f>
              <c:numCache>
                <c:formatCode>#,##0</c:formatCode>
                <c:ptCount val="6"/>
                <c:pt idx="0">
                  <c:v>1450</c:v>
                </c:pt>
                <c:pt idx="1">
                  <c:v>1680</c:v>
                </c:pt>
                <c:pt idx="2">
                  <c:v>1820</c:v>
                </c:pt>
                <c:pt idx="3">
                  <c:v>2210</c:v>
                </c:pt>
                <c:pt idx="4">
                  <c:v>2625</c:v>
                </c:pt>
                <c:pt idx="5">
                  <c:v>2858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073168"/>
        <c:axId val="14244824"/>
      </c:lineChart>
      <c:catAx>
        <c:axId val="730731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Financial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44824"/>
        <c:crosses val="autoZero"/>
        <c:auto val="1"/>
        <c:lblAlgn val="ctr"/>
        <c:lblOffset val="100"/>
        <c:noMultiLvlLbl val="0"/>
      </c:catAx>
      <c:valAx>
        <c:axId val="142448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Index /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0731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9</xdr:row>
      <xdr:rowOff>0</xdr:rowOff>
    </xdr:from>
    <xdr:to>
      <xdr:col>11</xdr:col>
      <xdr:colOff>684720</xdr:colOff>
      <xdr:row>22</xdr:row>
      <xdr:rowOff>126720</xdr:rowOff>
    </xdr:to>
    <xdr:graphicFrame>
      <xdr:nvGraphicFramePr>
        <xdr:cNvPr id="0" name="Chart 1"/>
        <xdr:cNvGraphicFramePr/>
      </xdr:nvGraphicFramePr>
      <xdr:xfrm>
        <a:off x="7612560" y="2124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6</xdr:col>
      <xdr:colOff>136080</xdr:colOff>
      <xdr:row>28</xdr:row>
      <xdr:rowOff>22320</xdr:rowOff>
    </xdr:to>
    <xdr:graphicFrame>
      <xdr:nvGraphicFramePr>
        <xdr:cNvPr id="1" name="Chart 1"/>
        <xdr:cNvGraphicFramePr/>
      </xdr:nvGraphicFramePr>
      <xdr:xfrm>
        <a:off x="0" y="29242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IInsights" displayName="AIInsights" ref="A4:G14" headerRowCount="1" totalsRowCount="0" totalsRowShown="0">
  <autoFilter ref="A4:G14"/>
  <tableColumns count="7">
    <tableColumn id="1" name="Insight_ID"/>
    <tableColumn id="2" name="Generated Insight (Natural Language)"/>
    <tableColumn id="3" name="Sector(s)"/>
    <tableColumn id="4" name="Region(s)"/>
    <tableColumn id="5" name="Horizon"/>
    <tableColumn id="6" name="Traceable Inputs (sheet!cell logic)"/>
    <tableColumn id="7" name="Confidence"/>
  </tableColumns>
</table>
</file>

<file path=xl/tables/table2.xml><?xml version="1.0" encoding="utf-8"?>
<table xmlns="http://schemas.openxmlformats.org/spreadsheetml/2006/main" id="2" name="Alerts" displayName="Alerts" ref="A4:H16" headerRowCount="1" totalsRowCount="0" totalsRowShown="0">
  <autoFilter ref="A4:H16"/>
  <tableColumns count="8">
    <tableColumn id="1" name="Alert_ID"/>
    <tableColumn id="2" name="Type"/>
    <tableColumn id="3" name="Region / Sector"/>
    <tableColumn id="4" name="Trigger Rule"/>
    <tableColumn id="5" name="Severity"/>
    <tableColumn id="6" name="Recommended Audience"/>
    <tableColumn id="7" name="Detail"/>
    <tableColumn id="8" name="Status"/>
  </tableColumns>
</table>
</file>

<file path=xl/tables/table3.xml><?xml version="1.0" encoding="utf-8"?>
<table xmlns="http://schemas.openxmlformats.org/spreadsheetml/2006/main" id="3" name="DataSourcesT" displayName="DataSourcesT" ref="A4:F27" headerRowCount="1" totalsRowCount="0" totalsRowShown="0">
  <autoFilter ref="A4:F27"/>
  <tableColumns count="6">
    <tableColumn id="1" name="Source / Publisher"/>
    <tableColumn id="2" name="Dataset Used In This Workbook"/>
    <tableColumn id="3" name="Sheet(s) Referencing It"/>
    <tableColumn id="4" name="Date of Data / Article"/>
    <tableColumn id="5" name="Reliability"/>
    <tableColumn id="6" name="Link"/>
  </tableColumns>
</table>
</file>

<file path=xl/tables/table4.xml><?xml version="1.0" encoding="utf-8"?>
<table xmlns="http://schemas.openxmlformats.org/spreadsheetml/2006/main" id="4" name="InvToEmp" displayName="InvToEmp" ref="A4:I16" headerRowCount="1" totalsRowCount="0" totalsRowShown="0">
  <autoFilter ref="A4:I16"/>
  <tableColumns count="9">
    <tableColumn id="1" name="Sector"/>
    <tableColumn id="2" name="₹ Crore per Direct Job&#10;(observed, low end)"/>
    <tableColumn id="3" name="₹ Crore per Direct Job&#10;(observed, high end)"/>
    <tableColumn id="4" name="₹ Crore per Direct Job&#10;(blended average)"/>
    <tableColumn id="5" name="Capital Intensity&#10;Classification"/>
    <tableColumn id="6" name="Jobs per US$1 Bn&#10;Investment (approx.)"/>
    <tableColumn id="7" name="Real Examples Used"/>
    <tableColumn id="8" name="Direct:Indirect&#10;Ratio"/>
    <tableColumn id="9" name="Source"/>
  </tableColumns>
</table>
</file>

<file path=xl/tables/table5.xml><?xml version="1.0" encoding="utf-8"?>
<table xmlns="http://schemas.openxmlformats.org/spreadsheetml/2006/main" id="5" name="ProjectPipeline" displayName="ProjectPipeline" ref="A4:N52" headerRowCount="1" totalsRowCount="0" totalsRowShown="0">
  <autoFilter ref="A4:N52"/>
  <tableColumns count="14">
    <tableColumn id="1" name="Project_ID"/>
    <tableColumn id="2" name="Company / Project Name"/>
    <tableColumn id="3" name="Sector"/>
    <tableColumn id="4" name="State"/>
    <tableColumn id="5" name="City/District"/>
    <tableColumn id="6" name="Announced /&#10;Approved Date"/>
    <tableColumn id="7" name="Investment&#10;(₹ Crore)"/>
    <tableColumn id="8" name="Direct Jobs&#10;(Announced)"/>
    <tableColumn id="9" name="Est. Indirect&#10;Jobs (×multiplier)"/>
    <tableColumn id="10" name="Total Jobs&#10;(Direct+Indirect)"/>
    <tableColumn id="11" name="Project Stage"/>
    <tableColumn id="12" name="Expected Hiring&#10;Start"/>
    <tableColumn id="13" name="Confidence&#10;(H/M/L)"/>
    <tableColumn id="14" name="Source"/>
  </tableColumns>
</table>
</file>

<file path=xl/tables/table6.xml><?xml version="1.0" encoding="utf-8"?>
<table xmlns="http://schemas.openxmlformats.org/spreadsheetml/2006/main" id="6" name="SectorMaster" displayName="SectorMaster" ref="A4:L48" headerRowCount="1" totalsRowCount="0" totalsRowShown="0">
  <autoFilter ref="A4:L48"/>
  <tableColumns count="12">
    <tableColumn id="1" name="Sector_ID"/>
    <tableColumn id="2" name="Parent Sector"/>
    <tableColumn id="3" name="SubSector_ID"/>
    <tableColumn id="4" name="Sub-Sector / Industry"/>
    <tableColumn id="5" name="Capex Intensity&#10;(₹cr per 1,000 direct jobs)"/>
    <tableColumn id="6" name="Direct:Indirect&#10;Job Multiplier"/>
    <tableColumn id="7" name="Jobs per ₹100cr&#10;Investment (Direct)"/>
    <tableColumn id="8" name="Avg. Gestation&#10;(months to 1st hiring)"/>
    <tableColumn id="9" name="FY26 Naukri&#10;Hiring YoY %"/>
    <tableColumn id="10" name="Current National&#10;Open Roles (est.)"/>
    <tableColumn id="11" name="PLI Coverage&#10;(Y/N)"/>
    <tableColumn id="12" name="Notes / Primary Source"/>
  </tableColumns>
</table>
</file>

<file path=xl/tables/table7.xml><?xml version="1.0" encoding="utf-8"?>
<table xmlns="http://schemas.openxmlformats.org/spreadsheetml/2006/main" id="7" name="SkillsDemand" displayName="SkillsDemand" ref="A4:J19" headerRowCount="1" totalsRowCount="0" totalsRowShown="0">
  <autoFilter ref="A4:J19"/>
  <tableColumns count="10">
    <tableColumn id="1" name="Role / Skill Cluster"/>
    <tableColumn id="2" name="Primary Sector"/>
    <tableColumn id="3" name="YoY Demand&#10;Growth %"/>
    <tableColumn id="4" name="Demand Tier&#10;(experience band)"/>
    <tableColumn id="5" name="Median CTC&#10;(₹ lakh p.a.)"/>
    <tableColumn id="6" name="Demand:Supply&#10;Ratio (×)"/>
    <tableColumn id="7" name="Top Hiring Cities"/>
    <tableColumn id="8" name="Trend Direction"/>
    <tableColumn id="9" name="Driving Factor"/>
    <tableColumn id="10" name="Source"/>
  </tableColumns>
</table>
</file>

<file path=xl/tables/table8.xml><?xml version="1.0" encoding="utf-8"?>
<table xmlns="http://schemas.openxmlformats.org/spreadsheetml/2006/main" id="8" name="StateMaster" displayName="StateMaster" ref="A4:M35" headerRowCount="1" totalsRowCount="0" totalsRowShown="0">
  <autoFilter ref="A4:M35"/>
  <tableColumns count="13">
    <tableColumn id="1" name="State_ID"/>
    <tableColumn id="2" name="State / UT"/>
    <tableColumn id="3" name="Region"/>
    <tableColumn id="4" name="Cumulative FDI&#10;Equity Share %&#10;(Oct'19–Jun'25)"/>
    <tableColumn id="5" name="FY25-26 FDI&#10;USD Bn (est.)"/>
    <tableColumn id="6" name="Leading City 1"/>
    <tableColumn id="7" name="Leading City 2"/>
    <tableColumn id="8" name="Active PLI /&#10;Semicon Projects"/>
    <tableColumn id="9" name="2026 Industrial&#10;Policy Highlight"/>
    <tableColumn id="10" name="Naukri City&#10;Hiring Index Tier"/>
    <tableColumn id="11" name="Startup Funding&#10;Share FY26 %"/>
    <tableColumn id="12" name="Labour Force&#10;(mn, approx.)"/>
    <tableColumn id="13" name="Primary Source"/>
  </tableColumns>
</table>
</file>

<file path=xl/tables/table9.xml><?xml version="1.0" encoding="utf-8"?>
<table xmlns="http://schemas.openxmlformats.org/spreadsheetml/2006/main" id="9" name="TopEmployers" displayName="TopEmployers" ref="A4:I24" headerRowCount="1" totalsRowCount="0" totalsRowShown="0">
  <autoFilter ref="A4:I24"/>
  <tableColumns count="9">
    <tableColumn id="1" name="Company"/>
    <tableColumn id="2" name="Sector"/>
    <tableColumn id="3" name="State / Location"/>
    <tableColumn id="4" name="Announced Investment&#10;(₹ Cr)"/>
    <tableColumn id="5" name="Announced Jobs&#10;(Direct)"/>
    <tableColumn id="6" name="Project Stage"/>
    <tableColumn id="7" name="Hiring Timeline"/>
    <tableColumn id="8" name="Roles in Demand"/>
    <tableColumn id="9" name="Sourc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545"/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4"/>
    <col collapsed="false" customWidth="true" hidden="false" outlineLevel="0" max="4" min="4" style="0" width="14"/>
    <col collapsed="false" customWidth="true" hidden="false" outlineLevel="0" max="8" min="5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.75" hidden="false" customHeight="true" outlineLevel="0" collapsed="false">
      <c r="B3" s="3"/>
      <c r="C3" s="3"/>
      <c r="D3" s="3"/>
      <c r="E3" s="3"/>
      <c r="F3" s="3"/>
      <c r="G3" s="3"/>
      <c r="H3" s="3"/>
    </row>
    <row r="4" customFormat="false" ht="15.75" hidden="false" customHeight="true" outlineLevel="0" collapsed="false">
      <c r="B4" s="4" t="s">
        <v>2</v>
      </c>
      <c r="C4" s="4"/>
      <c r="D4" s="4"/>
      <c r="E4" s="4"/>
      <c r="F4" s="4"/>
      <c r="G4" s="4"/>
      <c r="H4" s="4"/>
    </row>
    <row r="5" customFormat="false" ht="15.75" hidden="false" customHeight="true" outlineLevel="0" collapsed="false">
      <c r="B5" s="3" t="s">
        <v>3</v>
      </c>
      <c r="C5" s="3"/>
      <c r="D5" s="3"/>
      <c r="E5" s="3"/>
      <c r="F5" s="3"/>
      <c r="G5" s="3"/>
      <c r="H5" s="3"/>
    </row>
    <row r="6" customFormat="false" ht="15.75" hidden="false" customHeight="true" outlineLevel="0" collapsed="false">
      <c r="B6" s="3"/>
      <c r="C6" s="3"/>
      <c r="D6" s="3"/>
      <c r="E6" s="3"/>
      <c r="F6" s="3"/>
      <c r="G6" s="3"/>
      <c r="H6" s="3"/>
    </row>
    <row r="7" customFormat="false" ht="15.75" hidden="false" customHeight="true" outlineLevel="0" collapsed="false">
      <c r="B7" s="4" t="s">
        <v>4</v>
      </c>
      <c r="C7" s="4"/>
      <c r="D7" s="4"/>
      <c r="E7" s="4"/>
      <c r="F7" s="4"/>
      <c r="G7" s="4"/>
      <c r="H7" s="4"/>
    </row>
    <row r="8" customFormat="false" ht="15" hidden="false" customHeight="true" outlineLevel="0" collapsed="false">
      <c r="B8" s="5" t="s">
        <v>5</v>
      </c>
      <c r="C8" s="5"/>
      <c r="D8" s="3" t="s">
        <v>6</v>
      </c>
      <c r="E8" s="3"/>
      <c r="F8" s="3"/>
      <c r="G8" s="3"/>
      <c r="H8" s="3"/>
    </row>
    <row r="9" customFormat="false" ht="15" hidden="false" customHeight="true" outlineLevel="0" collapsed="false">
      <c r="B9" s="5" t="s">
        <v>7</v>
      </c>
      <c r="C9" s="5"/>
      <c r="D9" s="3" t="s">
        <v>8</v>
      </c>
      <c r="E9" s="3"/>
      <c r="F9" s="3"/>
      <c r="G9" s="3"/>
      <c r="H9" s="3"/>
    </row>
    <row r="10" customFormat="false" ht="15" hidden="false" customHeight="true" outlineLevel="0" collapsed="false">
      <c r="B10" s="5" t="s">
        <v>9</v>
      </c>
      <c r="C10" s="5"/>
      <c r="D10" s="3" t="s">
        <v>10</v>
      </c>
      <c r="E10" s="3"/>
      <c r="F10" s="3"/>
      <c r="G10" s="3"/>
      <c r="H10" s="3"/>
    </row>
    <row r="11" customFormat="false" ht="15" hidden="false" customHeight="true" outlineLevel="0" collapsed="false">
      <c r="B11" s="5" t="s">
        <v>11</v>
      </c>
      <c r="C11" s="5"/>
      <c r="D11" s="3" t="s">
        <v>12</v>
      </c>
      <c r="E11" s="3"/>
      <c r="F11" s="3"/>
      <c r="G11" s="3"/>
      <c r="H11" s="3"/>
    </row>
    <row r="12" customFormat="false" ht="15" hidden="false" customHeight="true" outlineLevel="0" collapsed="false">
      <c r="B12" s="5" t="s">
        <v>13</v>
      </c>
      <c r="C12" s="5"/>
      <c r="D12" s="3" t="s">
        <v>14</v>
      </c>
      <c r="E12" s="3"/>
      <c r="F12" s="3"/>
      <c r="G12" s="3"/>
      <c r="H12" s="3"/>
    </row>
    <row r="13" customFormat="false" ht="15" hidden="false" customHeight="true" outlineLevel="0" collapsed="false">
      <c r="B13" s="5" t="s">
        <v>15</v>
      </c>
      <c r="C13" s="5"/>
      <c r="D13" s="3" t="s">
        <v>16</v>
      </c>
      <c r="E13" s="3"/>
      <c r="F13" s="3"/>
      <c r="G13" s="3"/>
      <c r="H13" s="3"/>
    </row>
    <row r="14" customFormat="false" ht="15" hidden="false" customHeight="true" outlineLevel="0" collapsed="false">
      <c r="B14" s="5" t="s">
        <v>17</v>
      </c>
      <c r="C14" s="5"/>
      <c r="D14" s="3" t="s">
        <v>18</v>
      </c>
      <c r="E14" s="3"/>
      <c r="F14" s="3"/>
      <c r="G14" s="3"/>
      <c r="H14" s="3"/>
    </row>
    <row r="15" customFormat="false" ht="15" hidden="false" customHeight="true" outlineLevel="0" collapsed="false">
      <c r="B15" s="5" t="s">
        <v>19</v>
      </c>
      <c r="C15" s="5"/>
      <c r="D15" s="3" t="s">
        <v>20</v>
      </c>
      <c r="E15" s="3"/>
      <c r="F15" s="3"/>
      <c r="G15" s="3"/>
      <c r="H15" s="3"/>
    </row>
    <row r="16" customFormat="false" ht="15" hidden="false" customHeight="true" outlineLevel="0" collapsed="false">
      <c r="B16" s="5" t="s">
        <v>21</v>
      </c>
      <c r="C16" s="5"/>
      <c r="D16" s="3" t="s">
        <v>22</v>
      </c>
      <c r="E16" s="3"/>
      <c r="F16" s="3"/>
      <c r="G16" s="3"/>
      <c r="H16" s="3"/>
    </row>
    <row r="17" customFormat="false" ht="15" hidden="false" customHeight="true" outlineLevel="0" collapsed="false">
      <c r="B17" s="5" t="s">
        <v>23</v>
      </c>
      <c r="C17" s="5"/>
      <c r="D17" s="3" t="s">
        <v>24</v>
      </c>
      <c r="E17" s="3"/>
      <c r="F17" s="3"/>
      <c r="G17" s="3"/>
      <c r="H17" s="3"/>
    </row>
    <row r="18" customFormat="false" ht="15" hidden="false" customHeight="true" outlineLevel="0" collapsed="false">
      <c r="B18" s="5" t="s">
        <v>25</v>
      </c>
      <c r="C18" s="5"/>
      <c r="D18" s="3" t="s">
        <v>26</v>
      </c>
      <c r="E18" s="3"/>
      <c r="F18" s="3"/>
      <c r="G18" s="3"/>
      <c r="H18" s="3"/>
    </row>
    <row r="19" customFormat="false" ht="15" hidden="false" customHeight="true" outlineLevel="0" collapsed="false">
      <c r="B19" s="5" t="s">
        <v>27</v>
      </c>
      <c r="C19" s="5"/>
      <c r="D19" s="3" t="s">
        <v>28</v>
      </c>
      <c r="E19" s="3"/>
      <c r="F19" s="3"/>
      <c r="G19" s="3"/>
      <c r="H19" s="3"/>
    </row>
    <row r="20" customFormat="false" ht="15" hidden="false" customHeight="true" outlineLevel="0" collapsed="false">
      <c r="B20" s="5" t="s">
        <v>29</v>
      </c>
      <c r="C20" s="5"/>
      <c r="D20" s="3" t="s">
        <v>30</v>
      </c>
      <c r="E20" s="3"/>
      <c r="F20" s="3"/>
      <c r="G20" s="3"/>
      <c r="H20" s="3"/>
    </row>
    <row r="21" customFormat="false" ht="15" hidden="false" customHeight="true" outlineLevel="0" collapsed="false">
      <c r="B21" s="5" t="s">
        <v>31</v>
      </c>
      <c r="C21" s="5"/>
      <c r="D21" s="3" t="s">
        <v>32</v>
      </c>
      <c r="E21" s="3"/>
      <c r="F21" s="3"/>
      <c r="G21" s="3"/>
      <c r="H21" s="3"/>
    </row>
    <row r="22" customFormat="false" ht="15" hidden="false" customHeight="true" outlineLevel="0" collapsed="false">
      <c r="B22" s="5" t="s">
        <v>33</v>
      </c>
      <c r="C22" s="5"/>
      <c r="D22" s="3" t="s">
        <v>34</v>
      </c>
      <c r="E22" s="3"/>
      <c r="F22" s="3"/>
      <c r="G22" s="3"/>
      <c r="H22" s="3"/>
    </row>
    <row r="23" customFormat="false" ht="15" hidden="false" customHeight="true" outlineLevel="0" collapsed="false">
      <c r="B23" s="5" t="s">
        <v>35</v>
      </c>
      <c r="C23" s="5"/>
      <c r="D23" s="3" t="s">
        <v>36</v>
      </c>
      <c r="E23" s="3"/>
      <c r="F23" s="3"/>
      <c r="G23" s="3"/>
      <c r="H23" s="3"/>
    </row>
    <row r="24" customFormat="false" ht="15" hidden="false" customHeight="true" outlineLevel="0" collapsed="false">
      <c r="B24" s="5" t="s">
        <v>37</v>
      </c>
      <c r="C24" s="5"/>
      <c r="D24" s="3" t="s">
        <v>38</v>
      </c>
      <c r="E24" s="3"/>
      <c r="F24" s="3"/>
      <c r="G24" s="3"/>
      <c r="H24" s="3"/>
    </row>
    <row r="25" customFormat="false" ht="15" hidden="false" customHeight="true" outlineLevel="0" collapsed="false">
      <c r="B25" s="5" t="s">
        <v>39</v>
      </c>
      <c r="C25" s="5"/>
      <c r="D25" s="3" t="s">
        <v>40</v>
      </c>
      <c r="E25" s="3"/>
      <c r="F25" s="3"/>
      <c r="G25" s="3"/>
      <c r="H25" s="3"/>
    </row>
    <row r="26" customFormat="false" ht="15" hidden="false" customHeight="true" outlineLevel="0" collapsed="false">
      <c r="B26" s="5" t="s">
        <v>41</v>
      </c>
      <c r="C26" s="5"/>
      <c r="D26" s="3" t="s">
        <v>42</v>
      </c>
      <c r="E26" s="3"/>
      <c r="F26" s="3"/>
      <c r="G26" s="3"/>
      <c r="H26" s="3"/>
    </row>
    <row r="27" customFormat="false" ht="15" hidden="false" customHeight="true" outlineLevel="0" collapsed="false">
      <c r="B27" s="5" t="s">
        <v>43</v>
      </c>
      <c r="C27" s="5"/>
      <c r="D27" s="3" t="s">
        <v>44</v>
      </c>
      <c r="E27" s="3"/>
      <c r="F27" s="3"/>
      <c r="G27" s="3"/>
      <c r="H27" s="3"/>
    </row>
    <row r="28" customFormat="false" ht="15.75" hidden="false" customHeight="true" outlineLevel="0" collapsed="false">
      <c r="B28" s="3"/>
      <c r="C28" s="3"/>
      <c r="D28" s="3"/>
      <c r="E28" s="3"/>
      <c r="F28" s="3"/>
      <c r="G28" s="3"/>
      <c r="H28" s="3"/>
    </row>
    <row r="29" customFormat="false" ht="15.75" hidden="false" customHeight="true" outlineLevel="0" collapsed="false">
      <c r="B29" s="3" t="s">
        <v>45</v>
      </c>
      <c r="C29" s="3"/>
      <c r="D29" s="3"/>
      <c r="E29" s="3"/>
      <c r="F29" s="3"/>
      <c r="G29" s="3"/>
      <c r="H29" s="3"/>
    </row>
    <row r="30" customFormat="false" ht="15" hidden="false" customHeight="true" outlineLevel="0" collapsed="false">
      <c r="B30" s="5" t="s">
        <v>46</v>
      </c>
      <c r="C30" s="5"/>
      <c r="D30" s="3" t="s">
        <v>47</v>
      </c>
      <c r="E30" s="3"/>
      <c r="F30" s="3"/>
      <c r="G30" s="3"/>
      <c r="H30" s="3"/>
    </row>
    <row r="31" customFormat="false" ht="15" hidden="false" customHeight="true" outlineLevel="0" collapsed="false">
      <c r="B31" s="5" t="s">
        <v>48</v>
      </c>
      <c r="C31" s="5"/>
      <c r="D31" s="3" t="s">
        <v>49</v>
      </c>
      <c r="E31" s="3"/>
      <c r="F31" s="3"/>
      <c r="G31" s="3"/>
      <c r="H31" s="3"/>
    </row>
    <row r="32" customFormat="false" ht="15" hidden="false" customHeight="true" outlineLevel="0" collapsed="false">
      <c r="B32" s="5" t="s">
        <v>50</v>
      </c>
      <c r="C32" s="5"/>
      <c r="D32" s="3" t="s">
        <v>51</v>
      </c>
      <c r="E32" s="3"/>
      <c r="F32" s="3"/>
      <c r="G32" s="3"/>
      <c r="H32" s="3"/>
    </row>
    <row r="33" customFormat="false" ht="15" hidden="false" customHeight="true" outlineLevel="0" collapsed="false">
      <c r="B33" s="5" t="s">
        <v>52</v>
      </c>
      <c r="C33" s="5"/>
      <c r="D33" s="3" t="s">
        <v>53</v>
      </c>
      <c r="E33" s="3"/>
      <c r="F33" s="3"/>
      <c r="G33" s="3"/>
      <c r="H33" s="3"/>
    </row>
    <row r="34" customFormat="false" ht="15" hidden="false" customHeight="true" outlineLevel="0" collapsed="false">
      <c r="B34" s="5" t="s">
        <v>54</v>
      </c>
      <c r="C34" s="5"/>
      <c r="D34" s="3" t="s">
        <v>55</v>
      </c>
      <c r="E34" s="3"/>
      <c r="F34" s="3"/>
      <c r="G34" s="3"/>
      <c r="H34" s="3"/>
    </row>
    <row r="35" customFormat="false" ht="15.75" hidden="false" customHeight="true" outlineLevel="0" collapsed="false">
      <c r="B35" s="3"/>
      <c r="C35" s="3"/>
      <c r="D35" s="3"/>
      <c r="E35" s="3"/>
      <c r="F35" s="3"/>
      <c r="G35" s="3"/>
      <c r="H35" s="3"/>
    </row>
    <row r="36" customFormat="false" ht="15.75" hidden="false" customHeight="true" outlineLevel="0" collapsed="false">
      <c r="B36" s="4" t="s">
        <v>56</v>
      </c>
      <c r="C36" s="4"/>
      <c r="D36" s="4"/>
      <c r="E36" s="4"/>
      <c r="F36" s="4"/>
      <c r="G36" s="4"/>
      <c r="H36" s="4"/>
    </row>
    <row r="37" customFormat="false" ht="15.75" hidden="false" customHeight="true" outlineLevel="0" collapsed="false">
      <c r="B37" s="3" t="s">
        <v>57</v>
      </c>
      <c r="C37" s="3"/>
      <c r="D37" s="3"/>
      <c r="E37" s="3"/>
      <c r="F37" s="3"/>
      <c r="G37" s="3"/>
      <c r="H37" s="3"/>
    </row>
  </sheetData>
  <mergeCells count="62">
    <mergeCell ref="A1:H1"/>
    <mergeCell ref="A2:H2"/>
    <mergeCell ref="B3:H3"/>
    <mergeCell ref="B4:H4"/>
    <mergeCell ref="B5:H5"/>
    <mergeCell ref="B6:H6"/>
    <mergeCell ref="B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5:C15"/>
    <mergeCell ref="D15:H15"/>
    <mergeCell ref="B16:C16"/>
    <mergeCell ref="D16:H16"/>
    <mergeCell ref="B17:C17"/>
    <mergeCell ref="D17:H17"/>
    <mergeCell ref="B18:C18"/>
    <mergeCell ref="D18:H18"/>
    <mergeCell ref="B19:C19"/>
    <mergeCell ref="D19:H19"/>
    <mergeCell ref="B20:C20"/>
    <mergeCell ref="D20:H20"/>
    <mergeCell ref="B21:C21"/>
    <mergeCell ref="D21:H21"/>
    <mergeCell ref="B22:C22"/>
    <mergeCell ref="D22:H22"/>
    <mergeCell ref="B23:C23"/>
    <mergeCell ref="D23:H23"/>
    <mergeCell ref="B24:C24"/>
    <mergeCell ref="D24:H24"/>
    <mergeCell ref="B25:C25"/>
    <mergeCell ref="D25:H25"/>
    <mergeCell ref="B26:C26"/>
    <mergeCell ref="D26:H26"/>
    <mergeCell ref="B27:C27"/>
    <mergeCell ref="D27:H27"/>
    <mergeCell ref="B28:H28"/>
    <mergeCell ref="B29:H29"/>
    <mergeCell ref="B30:C30"/>
    <mergeCell ref="D30:H30"/>
    <mergeCell ref="B31:C31"/>
    <mergeCell ref="D31:H31"/>
    <mergeCell ref="B32:C32"/>
    <mergeCell ref="D32:H32"/>
    <mergeCell ref="B33:C33"/>
    <mergeCell ref="D33:H33"/>
    <mergeCell ref="B34:C34"/>
    <mergeCell ref="D34:H34"/>
    <mergeCell ref="B35:H35"/>
    <mergeCell ref="B36:H36"/>
    <mergeCell ref="B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B3D"/>
    <pageSetUpPr fitToPage="false"/>
  </sheetPr>
  <dimension ref="A1:L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22"/>
    <col collapsed="false" customWidth="true" hidden="false" outlineLevel="0" max="4" min="4" style="0" width="28"/>
    <col collapsed="false" customWidth="true" hidden="false" outlineLevel="0" max="12" min="5" style="0" width="12"/>
  </cols>
  <sheetData>
    <row r="1" customFormat="false" ht="25.5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A4" s="6" t="s">
        <v>60</v>
      </c>
      <c r="B4" s="6"/>
      <c r="C4" s="6"/>
      <c r="D4" s="6" t="s">
        <v>61</v>
      </c>
      <c r="E4" s="6"/>
      <c r="F4" s="6"/>
      <c r="G4" s="6" t="s">
        <v>62</v>
      </c>
      <c r="H4" s="6"/>
      <c r="I4" s="6"/>
      <c r="J4" s="6" t="s">
        <v>63</v>
      </c>
      <c r="K4" s="6"/>
      <c r="L4" s="6"/>
    </row>
    <row r="5" customFormat="false" ht="30" hidden="false" customHeight="true" outlineLevel="0" collapsed="false">
      <c r="A5" s="7" t="n">
        <f aca="false">PLI_Scheme_Tracker!B12</f>
        <v>1439000</v>
      </c>
      <c r="B5" s="7"/>
      <c r="C5" s="7"/>
      <c r="D5" s="8" t="n">
        <f aca="false">FDI_Inflow_Tracker!B9</f>
        <v>58.85</v>
      </c>
      <c r="E5" s="8"/>
      <c r="F5" s="8"/>
      <c r="G5" s="9" t="n">
        <f aca="false">Startup_Funding_Tracker!B8</f>
        <v>11.7</v>
      </c>
      <c r="H5" s="9"/>
      <c r="I5" s="9"/>
      <c r="J5" s="7" t="n">
        <f aca="false">Project_Pipeline!G53</f>
        <v>1569760.65</v>
      </c>
      <c r="K5" s="7"/>
      <c r="L5" s="7"/>
    </row>
    <row r="6" customFormat="false" ht="15" hidden="false" customHeight="false" outlineLevel="0" collapsed="false">
      <c r="A6" s="7"/>
      <c r="B6" s="7"/>
      <c r="C6" s="7"/>
      <c r="D6" s="8"/>
      <c r="E6" s="8"/>
      <c r="F6" s="8"/>
      <c r="G6" s="9"/>
      <c r="H6" s="9"/>
      <c r="I6" s="9"/>
      <c r="J6" s="7"/>
      <c r="K6" s="7"/>
      <c r="L6" s="7"/>
    </row>
    <row r="7" customFormat="false" ht="15" hidden="false" customHeight="true" outlineLevel="0" collapsed="false">
      <c r="A7" s="10" t="s">
        <v>64</v>
      </c>
      <c r="B7" s="10"/>
      <c r="C7" s="10"/>
      <c r="D7" s="10" t="s">
        <v>65</v>
      </c>
      <c r="E7" s="10"/>
      <c r="F7" s="10"/>
      <c r="G7" s="10" t="s">
        <v>65</v>
      </c>
      <c r="H7" s="10"/>
      <c r="I7" s="10"/>
      <c r="J7" s="10" t="s">
        <v>66</v>
      </c>
      <c r="K7" s="10"/>
      <c r="L7" s="10"/>
    </row>
    <row r="10" customFormat="false" ht="15" hidden="false" customHeight="false" outlineLevel="0" collapsed="false">
      <c r="A10" s="4" t="s">
        <v>67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27.75" hidden="false" customHeight="true" outlineLevel="0" collapsed="false">
      <c r="A11" s="11" t="s">
        <v>68</v>
      </c>
      <c r="B11" s="11" t="s">
        <v>69</v>
      </c>
      <c r="C11" s="11" t="s">
        <v>70</v>
      </c>
      <c r="D11" s="11" t="s">
        <v>71</v>
      </c>
    </row>
    <row r="12" customFormat="false" ht="15" hidden="false" customHeight="false" outlineLevel="0" collapsed="false">
      <c r="A12" s="12" t="s">
        <v>72</v>
      </c>
      <c r="B12" s="13" t="n">
        <f aca="false">SUM(Job_Forecast_3_6_12_24M!F5:F19)</f>
        <v>5650.094394</v>
      </c>
      <c r="C12" s="13" t="n">
        <f aca="false">SUM(Job_Forecast_3_6_12_24M!G5:G19)</f>
        <v>4633.07740308</v>
      </c>
      <c r="D12" s="13" t="n">
        <f aca="false">SUM(Job_Forecast_3_6_12_24M!H5:H19)</f>
        <v>6893.11516068</v>
      </c>
    </row>
    <row r="13" customFormat="false" ht="15" hidden="false" customHeight="false" outlineLevel="0" collapsed="false">
      <c r="A13" s="14" t="s">
        <v>73</v>
      </c>
      <c r="B13" s="15" t="n">
        <f aca="false">SUM(Job_Forecast_3_6_12_24M!I5:I19)</f>
        <v>14356.797924</v>
      </c>
      <c r="C13" s="15" t="n">
        <f aca="false">SUM(Job_Forecast_3_6_12_24M!J5:J19)</f>
        <v>11485.4383392</v>
      </c>
      <c r="D13" s="15" t="n">
        <f aca="false">SUM(Job_Forecast_3_6_12_24M!K5:K19)</f>
        <v>17945.997405</v>
      </c>
    </row>
    <row r="14" customFormat="false" ht="15" hidden="false" customHeight="false" outlineLevel="0" collapsed="false">
      <c r="A14" s="12" t="s">
        <v>74</v>
      </c>
      <c r="B14" s="13" t="n">
        <f aca="false">SUM(Job_Forecast_3_6_12_24M!L5:L19)</f>
        <v>33259.731722</v>
      </c>
      <c r="C14" s="13" t="n">
        <f aca="false">SUM(Job_Forecast_3_6_12_24M!M5:M19)</f>
        <v>25942.59074316</v>
      </c>
      <c r="D14" s="13" t="n">
        <f aca="false">SUM(Job_Forecast_3_6_12_24M!N5:N19)</f>
        <v>43237.6512386</v>
      </c>
    </row>
    <row r="15" customFormat="false" ht="15" hidden="false" customHeight="false" outlineLevel="0" collapsed="false">
      <c r="A15" s="14" t="s">
        <v>75</v>
      </c>
      <c r="B15" s="15" t="n">
        <f aca="false">SUM(Job_Forecast_3_6_12_24M!O5:O19)</f>
        <v>83081.6182</v>
      </c>
      <c r="C15" s="15" t="n">
        <f aca="false">SUM(Job_Forecast_3_6_12_24M!P5:P19)</f>
        <v>62311.21365</v>
      </c>
      <c r="D15" s="15" t="n">
        <f aca="false">SUM(Job_Forecast_3_6_12_24M!Q5:Q19)</f>
        <v>112160.18457</v>
      </c>
    </row>
    <row r="18" customFormat="false" ht="15" hidden="false" customHeight="false" outlineLevel="0" collapsed="false">
      <c r="A18" s="4" t="s">
        <v>76</v>
      </c>
      <c r="B18" s="4"/>
      <c r="C18" s="4"/>
      <c r="D18" s="4"/>
    </row>
    <row r="19" customFormat="false" ht="24" hidden="false" customHeight="true" outlineLevel="0" collapsed="false">
      <c r="A19" s="11" t="s">
        <v>77</v>
      </c>
      <c r="B19" s="11" t="s">
        <v>78</v>
      </c>
      <c r="C19" s="11" t="s">
        <v>79</v>
      </c>
      <c r="D19" s="11" t="s">
        <v>80</v>
      </c>
    </row>
    <row r="20" customFormat="false" ht="15" hidden="false" customHeight="false" outlineLevel="0" collapsed="false">
      <c r="A20" s="12" t="n">
        <v>1</v>
      </c>
      <c r="B20" s="12" t="s">
        <v>81</v>
      </c>
      <c r="C20" s="16" t="n">
        <f aca="false">AVERAGE(Hiring_Heatmap_Matrix!B7:N7)</f>
        <v>58.3076923076923</v>
      </c>
      <c r="D20" s="12" t="s">
        <v>82</v>
      </c>
    </row>
    <row r="21" customFormat="false" ht="15" hidden="false" customHeight="false" outlineLevel="0" collapsed="false">
      <c r="A21" s="14" t="n">
        <v>2</v>
      </c>
      <c r="B21" s="14" t="s">
        <v>83</v>
      </c>
      <c r="C21" s="17" t="n">
        <f aca="false">AVERAGE(Hiring_Heatmap_Matrix!B9:N9)</f>
        <v>66.4615384615385</v>
      </c>
      <c r="D21" s="14" t="s">
        <v>82</v>
      </c>
    </row>
    <row r="22" customFormat="false" ht="15" hidden="false" customHeight="false" outlineLevel="0" collapsed="false">
      <c r="A22" s="12" t="n">
        <v>3</v>
      </c>
      <c r="B22" s="12" t="s">
        <v>84</v>
      </c>
      <c r="C22" s="16" t="n">
        <f aca="false">AVERAGE(Hiring_Heatmap_Matrix!B6:N6)</f>
        <v>67.7692307692308</v>
      </c>
      <c r="D22" s="12" t="s">
        <v>82</v>
      </c>
    </row>
    <row r="23" customFormat="false" ht="15" hidden="false" customHeight="false" outlineLevel="0" collapsed="false">
      <c r="A23" s="14" t="n">
        <v>4</v>
      </c>
      <c r="B23" s="14" t="s">
        <v>85</v>
      </c>
      <c r="C23" s="17" t="n">
        <f aca="false">AVERAGE(Hiring_Heatmap_Matrix!B5:N5)</f>
        <v>69.3846153846154</v>
      </c>
      <c r="D23" s="14" t="s">
        <v>82</v>
      </c>
    </row>
    <row r="24" customFormat="false" ht="15" hidden="false" customHeight="false" outlineLevel="0" collapsed="false">
      <c r="A24" s="12" t="n">
        <v>5</v>
      </c>
      <c r="B24" s="12" t="s">
        <v>86</v>
      </c>
      <c r="C24" s="16" t="n">
        <f aca="false">AVERAGE(Hiring_Heatmap_Matrix!B8:N8)</f>
        <v>64.3846153846154</v>
      </c>
      <c r="D24" s="12" t="s">
        <v>82</v>
      </c>
    </row>
    <row r="27" customFormat="false" ht="15" hidden="false" customHeight="false" outlineLevel="0" collapsed="false">
      <c r="A27" s="4" t="s">
        <v>87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24" hidden="false" customHeight="true" outlineLevel="0" collapsed="false">
      <c r="A28" s="11" t="s">
        <v>88</v>
      </c>
      <c r="B28" s="11" t="s">
        <v>89</v>
      </c>
      <c r="C28" s="11" t="s">
        <v>90</v>
      </c>
    </row>
    <row r="29" customFormat="false" ht="15" hidden="false" customHeight="false" outlineLevel="0" collapsed="false">
      <c r="A29" s="12" t="str">
        <f aca="false">Alerts_Watchlist!B5</f>
        <v>🔴 Critical Skill Shortage</v>
      </c>
      <c r="B29" s="12" t="str">
        <f aca="false">Alerts_Watchlist!C5</f>
        <v>AI/ML — Karnataka &amp; Delhi-NCR</v>
      </c>
      <c r="C29" s="12" t="str">
        <f aca="false">Alerts_Watchlist!G5</f>
        <v>Demand:supply ratio of 3.2x in AI/ML roles; gap projected to widen through 2027 without emergency upskilling cohorts.</v>
      </c>
      <c r="D29" s="12"/>
      <c r="E29" s="12"/>
      <c r="F29" s="12"/>
      <c r="G29" s="12"/>
      <c r="H29" s="12"/>
    </row>
    <row r="30" customFormat="false" ht="15" hidden="false" customHeight="false" outlineLevel="0" collapsed="false">
      <c r="A30" s="14" t="str">
        <f aca="false">Alerts_Watchlist!B6</f>
        <v>🔴 Critical Skill Shortage</v>
      </c>
      <c r="B30" s="14" t="str">
        <f aca="false">Alerts_Watchlist!C6</f>
        <v>Semiconductors — Gujarat &amp; UP</v>
      </c>
      <c r="C30" s="14" t="str">
        <f aca="false">Alerts_Watchlist!G6</f>
        <v>Gujarat alone has ₹128,600cr in semiconductor pipeline investment against a fab-trained talent base of just ~3,100 workers nationally.</v>
      </c>
      <c r="D30" s="14"/>
      <c r="E30" s="14"/>
      <c r="F30" s="14"/>
      <c r="G30" s="14"/>
      <c r="H30" s="14"/>
    </row>
    <row r="31" customFormat="false" ht="15" hidden="false" customHeight="false" outlineLevel="0" collapsed="false">
      <c r="A31" s="12" t="str">
        <f aca="false">Alerts_Watchlist!B9</f>
        <v>🟡 Watch — Possible Overheating</v>
      </c>
      <c r="B31" s="12" t="str">
        <f aca="false">Alerts_Watchlist!C9</f>
        <v>Karnataka GIM Investment Pledges</v>
      </c>
      <c r="C31" s="12" t="str">
        <f aca="false">Alerts_Watchlist!G9</f>
        <v>The ₹10.27L cr / 6 lakh jobs GIM pledge significantly exceeds Karnataka's annual skilled-workforce output; execution risk is material.</v>
      </c>
      <c r="D31" s="12"/>
      <c r="E31" s="12"/>
      <c r="F31" s="12"/>
      <c r="G31" s="12"/>
      <c r="H31" s="12"/>
    </row>
    <row r="34" customFormat="false" ht="15" hidden="false" customHeight="false" outlineLevel="0" collapsed="false">
      <c r="A34" s="4" t="s">
        <v>91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customFormat="false" ht="15" hidden="false" customHeight="false" outlineLevel="0" collapsed="false">
      <c r="A35" s="18" t="str">
        <f aca="false">AI_Insights_Log!B5</f>
        <v>Upcoming EV and electronics manufacturing investments in Tamil Nadu — anchored by the Samsung/Foxconn/Flex supplier ecosystem — are expected to generate approximately 15,800 engineering and operations jobs over the next 18 months, with confidence widening to a range of 11,900-19,000 jobs given typical PLI execution variance.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customFormat="false" ht="15" hidden="false" customHeight="false" outlineLevel="0" collapsed="false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</row>
    <row r="37" customFormat="false" ht="15" hidden="false" customHeight="false" outlineLevel="0" collapsed="false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</row>
  </sheetData>
  <mergeCells count="22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10:L10"/>
    <mergeCell ref="A18:D18"/>
    <mergeCell ref="A27:L27"/>
    <mergeCell ref="C29:H29"/>
    <mergeCell ref="C30:H30"/>
    <mergeCell ref="C31:H31"/>
    <mergeCell ref="A34:L34"/>
    <mergeCell ref="A35:L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A93B"/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0"/>
    <col collapsed="false" customWidth="true" hidden="false" outlineLevel="0" max="6" min="4" style="0" width="14"/>
  </cols>
  <sheetData>
    <row r="1" customFormat="false" ht="25.5" hidden="false" customHeight="true" outlineLevel="0" collapsed="false">
      <c r="A1" s="1" t="s">
        <v>92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93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19" t="s">
        <v>94</v>
      </c>
      <c r="B4" s="19"/>
      <c r="C4" s="19"/>
      <c r="D4" s="19"/>
      <c r="E4" s="19"/>
      <c r="F4" s="19"/>
    </row>
    <row r="6" customFormat="false" ht="15" hidden="false" customHeight="true" outlineLevel="0" collapsed="false">
      <c r="A6" s="20" t="s">
        <v>95</v>
      </c>
      <c r="B6" s="21" t="s">
        <v>96</v>
      </c>
      <c r="C6" s="21"/>
    </row>
    <row r="8" customFormat="false" ht="15" hidden="false" customHeight="true" outlineLevel="0" collapsed="false">
      <c r="A8" s="20" t="s">
        <v>97</v>
      </c>
      <c r="B8" s="21" t="s">
        <v>98</v>
      </c>
      <c r="C8" s="21"/>
    </row>
    <row r="10" customFormat="false" ht="15" hidden="false" customHeight="true" outlineLevel="0" collapsed="false">
      <c r="A10" s="20" t="s">
        <v>99</v>
      </c>
      <c r="B10" s="21" t="s">
        <v>74</v>
      </c>
      <c r="C10" s="21"/>
    </row>
    <row r="12" customFormat="false" ht="15" hidden="false" customHeight="true" outlineLevel="0" collapsed="false">
      <c r="A12" s="20" t="s">
        <v>100</v>
      </c>
      <c r="B12" s="21" t="s">
        <v>101</v>
      </c>
      <c r="C12" s="21"/>
    </row>
    <row r="14" customFormat="false" ht="15" hidden="false" customHeight="true" outlineLevel="0" collapsed="false">
      <c r="A14" s="20" t="s">
        <v>102</v>
      </c>
      <c r="B14" s="21" t="s">
        <v>103</v>
      </c>
      <c r="C14" s="21"/>
    </row>
    <row r="16" customFormat="false" ht="15" hidden="false" customHeight="true" outlineLevel="0" collapsed="false">
      <c r="A16" s="20" t="s">
        <v>104</v>
      </c>
      <c r="B16" s="21" t="s">
        <v>105</v>
      </c>
      <c r="C16" s="21"/>
    </row>
    <row r="20" customFormat="false" ht="48" hidden="false" customHeight="true" outlineLevel="0" collapsed="false">
      <c r="A20" s="22" t="s">
        <v>106</v>
      </c>
      <c r="B20" s="22"/>
      <c r="C20" s="22"/>
      <c r="D20" s="22"/>
      <c r="E20" s="22"/>
      <c r="F20" s="22"/>
    </row>
  </sheetData>
  <mergeCells count="10">
    <mergeCell ref="A1:F1"/>
    <mergeCell ref="A2:F2"/>
    <mergeCell ref="A4:F4"/>
    <mergeCell ref="B6:C6"/>
    <mergeCell ref="B8:C8"/>
    <mergeCell ref="B10:C10"/>
    <mergeCell ref="B12:C12"/>
    <mergeCell ref="B14:C14"/>
    <mergeCell ref="B16:C16"/>
    <mergeCell ref="A20:F20"/>
  </mergeCells>
  <dataValidations count="5">
    <dataValidation allowBlank="false" errorStyle="stop" operator="between" showDropDown="false" showErrorMessage="false" showInputMessage="false" sqref="B6" type="list">
      <formula1>"All States,Maharashtra,Karnataka,Gujarat,Tamil Nadu,Delhi-NCR (incl. Noida,Gurugram),Telangana,Uttar Pradesh,Odisha,Andhra Pradesh,West Bengal,Rajasthan"</formula1>
      <formula2>0</formula2>
    </dataValidation>
    <dataValidation allowBlank="false" errorStyle="stop" operator="between" showDropDown="false" showErrorMessage="false" showInputMessage="false" sqref="B8" type="list">
      <formula1>"All Sectors,Electronics &amp; Mobile Manufacturing,Semiconductors &amp; ATMP/OSAT,Automobiles &amp; Auto Components (incl. EV),Food Processing,Textiles &amp; Apparel,IT Services &amp; GCC,AI / ML &amp; Data Science,Fintech &amp; Digital Lending,Hospitality &amp; Travel,BPO/ITES,Real Est"</formula1>
      <formula2>0</formula2>
    </dataValidation>
    <dataValidation allowBlank="false" errorStyle="stop" operator="between" showDropDown="false" showErrorMessage="false" showInputMessage="false" sqref="B10" type="list">
      <formula1>"3 Months,6 Months,12 Months,24 Months"</formula1>
      <formula2>0</formula2>
    </dataValidation>
    <dataValidation allowBlank="false" errorStyle="stop" operator="between" showDropDown="false" showErrorMessage="false" showInputMessage="false" sqref="B14" type="list">
      <formula1>"All Sizes,Under Rs 500cr,Rs 500-5000cr,Rs 5000-25000cr,Above Rs 25000cr"</formula1>
      <formula2>0</formula2>
    </dataValidation>
    <dataValidation allowBlank="false" errorStyle="stop" operator="between" showDropDown="false" showErrorMessage="false" showInputMessage="false" sqref="B16" type="list">
      <formula1>"All Stages,MoU Stage,Approved,Under Construction,Operational,Final Stages"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32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9"/>
    <col collapsed="false" customWidth="true" hidden="false" outlineLevel="0" max="12" min="12" style="0" width="46"/>
  </cols>
  <sheetData>
    <row r="1" customFormat="false" ht="25.5" hidden="false" customHeight="true" outlineLevel="0" collapsed="false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2" t="s">
        <v>108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45.75" hidden="false" customHeight="true" outlineLevel="0" collapsed="false">
      <c r="A4" s="11" t="s">
        <v>109</v>
      </c>
      <c r="B4" s="11" t="s">
        <v>110</v>
      </c>
      <c r="C4" s="11" t="s">
        <v>111</v>
      </c>
      <c r="D4" s="11" t="s">
        <v>112</v>
      </c>
      <c r="E4" s="11" t="s">
        <v>113</v>
      </c>
      <c r="F4" s="11" t="s">
        <v>114</v>
      </c>
      <c r="G4" s="11" t="s">
        <v>115</v>
      </c>
      <c r="H4" s="11" t="s">
        <v>116</v>
      </c>
      <c r="I4" s="11" t="s">
        <v>117</v>
      </c>
      <c r="J4" s="11" t="s">
        <v>118</v>
      </c>
      <c r="K4" s="11" t="s">
        <v>119</v>
      </c>
      <c r="L4" s="11" t="s">
        <v>120</v>
      </c>
    </row>
    <row r="5" customFormat="false" ht="20.85" hidden="false" customHeight="false" outlineLevel="0" collapsed="false">
      <c r="A5" s="12" t="s">
        <v>121</v>
      </c>
      <c r="B5" s="12" t="s">
        <v>122</v>
      </c>
      <c r="C5" s="12" t="s">
        <v>123</v>
      </c>
      <c r="D5" s="12" t="s">
        <v>124</v>
      </c>
      <c r="E5" s="23" t="n">
        <v>18</v>
      </c>
      <c r="F5" s="24" t="n">
        <v>2.6</v>
      </c>
      <c r="G5" s="25" t="n">
        <v>556</v>
      </c>
      <c r="H5" s="26" t="n">
        <v>9</v>
      </c>
      <c r="I5" s="27" t="n">
        <v>4</v>
      </c>
      <c r="J5" s="25" t="n">
        <v>210000</v>
      </c>
      <c r="K5" s="12" t="s">
        <v>125</v>
      </c>
      <c r="L5" s="28" t="s">
        <v>126</v>
      </c>
    </row>
    <row r="6" customFormat="false" ht="20.85" hidden="false" customHeight="false" outlineLevel="0" collapsed="false">
      <c r="A6" s="14" t="s">
        <v>121</v>
      </c>
      <c r="B6" s="14" t="s">
        <v>122</v>
      </c>
      <c r="C6" s="14" t="s">
        <v>127</v>
      </c>
      <c r="D6" s="14" t="s">
        <v>128</v>
      </c>
      <c r="E6" s="29" t="n">
        <v>176</v>
      </c>
      <c r="F6" s="30" t="n">
        <v>1.8</v>
      </c>
      <c r="G6" s="31" t="n">
        <v>57</v>
      </c>
      <c r="H6" s="32" t="n">
        <v>18</v>
      </c>
      <c r="I6" s="33" t="n">
        <v>6</v>
      </c>
      <c r="J6" s="31" t="n">
        <v>38000</v>
      </c>
      <c r="K6" s="14" t="s">
        <v>125</v>
      </c>
      <c r="L6" s="34" t="s">
        <v>129</v>
      </c>
    </row>
    <row r="7" customFormat="false" ht="20.85" hidden="false" customHeight="false" outlineLevel="0" collapsed="false">
      <c r="A7" s="12" t="s">
        <v>121</v>
      </c>
      <c r="B7" s="12" t="s">
        <v>122</v>
      </c>
      <c r="C7" s="12" t="s">
        <v>130</v>
      </c>
      <c r="D7" s="12" t="s">
        <v>131</v>
      </c>
      <c r="E7" s="23" t="n">
        <v>27</v>
      </c>
      <c r="F7" s="24" t="n">
        <v>2.1</v>
      </c>
      <c r="G7" s="25" t="n">
        <v>370</v>
      </c>
      <c r="H7" s="26" t="n">
        <v>8</v>
      </c>
      <c r="I7" s="27" t="n">
        <v>5</v>
      </c>
      <c r="J7" s="25" t="n">
        <v>64000</v>
      </c>
      <c r="K7" s="12" t="s">
        <v>125</v>
      </c>
      <c r="L7" s="28" t="s">
        <v>132</v>
      </c>
    </row>
    <row r="8" customFormat="false" ht="20.85" hidden="false" customHeight="false" outlineLevel="0" collapsed="false">
      <c r="A8" s="14" t="s">
        <v>121</v>
      </c>
      <c r="B8" s="14" t="s">
        <v>122</v>
      </c>
      <c r="C8" s="14" t="s">
        <v>133</v>
      </c>
      <c r="D8" s="14" t="s">
        <v>134</v>
      </c>
      <c r="E8" s="29" t="n">
        <v>22</v>
      </c>
      <c r="F8" s="30" t="n">
        <v>2.4</v>
      </c>
      <c r="G8" s="31" t="n">
        <v>455</v>
      </c>
      <c r="H8" s="32" t="n">
        <v>10</v>
      </c>
      <c r="I8" s="33" t="n">
        <v>9</v>
      </c>
      <c r="J8" s="31" t="n">
        <v>142000</v>
      </c>
      <c r="K8" s="14" t="s">
        <v>125</v>
      </c>
      <c r="L8" s="34" t="s">
        <v>135</v>
      </c>
    </row>
    <row r="9" customFormat="false" ht="20.85" hidden="false" customHeight="false" outlineLevel="0" collapsed="false">
      <c r="A9" s="12" t="s">
        <v>121</v>
      </c>
      <c r="B9" s="12" t="s">
        <v>122</v>
      </c>
      <c r="C9" s="12" t="s">
        <v>136</v>
      </c>
      <c r="D9" s="12" t="s">
        <v>137</v>
      </c>
      <c r="E9" s="23" t="n">
        <v>95</v>
      </c>
      <c r="F9" s="24" t="n">
        <v>1.6</v>
      </c>
      <c r="G9" s="25" t="n">
        <v>105</v>
      </c>
      <c r="H9" s="26" t="n">
        <v>14</v>
      </c>
      <c r="I9" s="27" t="n">
        <v>7</v>
      </c>
      <c r="J9" s="25" t="n">
        <v>9500</v>
      </c>
      <c r="K9" s="12" t="s">
        <v>125</v>
      </c>
      <c r="L9" s="28" t="s">
        <v>138</v>
      </c>
    </row>
    <row r="10" customFormat="false" ht="20.85" hidden="false" customHeight="false" outlineLevel="0" collapsed="false">
      <c r="A10" s="14" t="s">
        <v>121</v>
      </c>
      <c r="B10" s="14" t="s">
        <v>122</v>
      </c>
      <c r="C10" s="14" t="s">
        <v>139</v>
      </c>
      <c r="D10" s="14" t="s">
        <v>140</v>
      </c>
      <c r="E10" s="29" t="n">
        <v>2.7</v>
      </c>
      <c r="F10" s="30" t="n">
        <v>1.9</v>
      </c>
      <c r="G10" s="31" t="n">
        <v>3682</v>
      </c>
      <c r="H10" s="32" t="n">
        <v>5</v>
      </c>
      <c r="I10" s="33" t="n">
        <v>8</v>
      </c>
      <c r="J10" s="31" t="n">
        <v>96000</v>
      </c>
      <c r="K10" s="14" t="s">
        <v>125</v>
      </c>
      <c r="L10" s="34" t="s">
        <v>141</v>
      </c>
    </row>
    <row r="11" customFormat="false" ht="20.85" hidden="false" customHeight="false" outlineLevel="0" collapsed="false">
      <c r="A11" s="12" t="s">
        <v>121</v>
      </c>
      <c r="B11" s="12" t="s">
        <v>122</v>
      </c>
      <c r="C11" s="12" t="s">
        <v>142</v>
      </c>
      <c r="D11" s="12" t="s">
        <v>143</v>
      </c>
      <c r="E11" s="23" t="n">
        <v>4.1</v>
      </c>
      <c r="F11" s="24" t="n">
        <v>2.2</v>
      </c>
      <c r="G11" s="25" t="n">
        <v>2439</v>
      </c>
      <c r="H11" s="26" t="n">
        <v>6</v>
      </c>
      <c r="I11" s="27" t="n">
        <v>3</v>
      </c>
      <c r="J11" s="25" t="n">
        <v>118000</v>
      </c>
      <c r="K11" s="12" t="s">
        <v>125</v>
      </c>
      <c r="L11" s="28" t="s">
        <v>144</v>
      </c>
    </row>
    <row r="12" customFormat="false" ht="15" hidden="false" customHeight="false" outlineLevel="0" collapsed="false">
      <c r="A12" s="14" t="s">
        <v>121</v>
      </c>
      <c r="B12" s="14" t="s">
        <v>122</v>
      </c>
      <c r="C12" s="14" t="s">
        <v>145</v>
      </c>
      <c r="D12" s="14" t="s">
        <v>146</v>
      </c>
      <c r="E12" s="29" t="n">
        <v>31</v>
      </c>
      <c r="F12" s="30" t="n">
        <v>1.7</v>
      </c>
      <c r="G12" s="31" t="n">
        <v>323</v>
      </c>
      <c r="H12" s="32" t="n">
        <v>12</v>
      </c>
      <c r="I12" s="33" t="n">
        <v>2</v>
      </c>
      <c r="J12" s="31" t="n">
        <v>21000</v>
      </c>
      <c r="K12" s="14" t="s">
        <v>125</v>
      </c>
      <c r="L12" s="34" t="s">
        <v>147</v>
      </c>
    </row>
    <row r="13" customFormat="false" ht="15" hidden="false" customHeight="false" outlineLevel="0" collapsed="false">
      <c r="A13" s="12" t="s">
        <v>121</v>
      </c>
      <c r="B13" s="12" t="s">
        <v>122</v>
      </c>
      <c r="C13" s="12" t="s">
        <v>148</v>
      </c>
      <c r="D13" s="12" t="s">
        <v>149</v>
      </c>
      <c r="E13" s="23" t="n">
        <v>19</v>
      </c>
      <c r="F13" s="24" t="n">
        <v>1.9</v>
      </c>
      <c r="G13" s="25" t="n">
        <v>526</v>
      </c>
      <c r="H13" s="26" t="n">
        <v>9</v>
      </c>
      <c r="I13" s="27" t="n">
        <v>4</v>
      </c>
      <c r="J13" s="25" t="n">
        <v>28000</v>
      </c>
      <c r="K13" s="12" t="s">
        <v>125</v>
      </c>
      <c r="L13" s="28" t="s">
        <v>150</v>
      </c>
    </row>
    <row r="14" customFormat="false" ht="15" hidden="false" customHeight="false" outlineLevel="0" collapsed="false">
      <c r="A14" s="14" t="s">
        <v>121</v>
      </c>
      <c r="B14" s="14" t="s">
        <v>122</v>
      </c>
      <c r="C14" s="14" t="s">
        <v>151</v>
      </c>
      <c r="D14" s="14" t="s">
        <v>152</v>
      </c>
      <c r="E14" s="29" t="n">
        <v>6.8</v>
      </c>
      <c r="F14" s="30" t="n">
        <v>2</v>
      </c>
      <c r="G14" s="31" t="n">
        <v>1471</v>
      </c>
      <c r="H14" s="32" t="n">
        <v>7</v>
      </c>
      <c r="I14" s="33" t="n">
        <v>3</v>
      </c>
      <c r="J14" s="31" t="n">
        <v>34000</v>
      </c>
      <c r="K14" s="14" t="s">
        <v>125</v>
      </c>
      <c r="L14" s="34" t="s">
        <v>153</v>
      </c>
    </row>
    <row r="15" customFormat="false" ht="15" hidden="false" customHeight="false" outlineLevel="0" collapsed="false">
      <c r="A15" s="12" t="s">
        <v>121</v>
      </c>
      <c r="B15" s="12" t="s">
        <v>122</v>
      </c>
      <c r="C15" s="12" t="s">
        <v>154</v>
      </c>
      <c r="D15" s="12" t="s">
        <v>155</v>
      </c>
      <c r="E15" s="23" t="n">
        <v>14</v>
      </c>
      <c r="F15" s="24" t="n">
        <v>1.5</v>
      </c>
      <c r="G15" s="25" t="n">
        <v>714</v>
      </c>
      <c r="H15" s="26" t="n">
        <v>11</v>
      </c>
      <c r="I15" s="27" t="n">
        <v>12</v>
      </c>
      <c r="J15" s="25" t="n">
        <v>7200</v>
      </c>
      <c r="K15" s="12" t="s">
        <v>125</v>
      </c>
      <c r="L15" s="28" t="s">
        <v>156</v>
      </c>
    </row>
    <row r="16" customFormat="false" ht="15" hidden="false" customHeight="false" outlineLevel="0" collapsed="false">
      <c r="A16" s="14" t="s">
        <v>121</v>
      </c>
      <c r="B16" s="14" t="s">
        <v>122</v>
      </c>
      <c r="C16" s="14" t="s">
        <v>157</v>
      </c>
      <c r="D16" s="14" t="s">
        <v>158</v>
      </c>
      <c r="E16" s="29" t="n">
        <v>11</v>
      </c>
      <c r="F16" s="30" t="n">
        <v>1.8</v>
      </c>
      <c r="G16" s="31" t="n">
        <v>909</v>
      </c>
      <c r="H16" s="32" t="n">
        <v>9</v>
      </c>
      <c r="I16" s="33" t="n">
        <v>6</v>
      </c>
      <c r="J16" s="31" t="n">
        <v>12500</v>
      </c>
      <c r="K16" s="14" t="s">
        <v>125</v>
      </c>
      <c r="L16" s="34" t="s">
        <v>159</v>
      </c>
    </row>
    <row r="17" customFormat="false" ht="20.85" hidden="false" customHeight="false" outlineLevel="0" collapsed="false">
      <c r="A17" s="12" t="s">
        <v>160</v>
      </c>
      <c r="B17" s="12" t="s">
        <v>161</v>
      </c>
      <c r="C17" s="12" t="s">
        <v>162</v>
      </c>
      <c r="D17" s="12" t="s">
        <v>163</v>
      </c>
      <c r="E17" s="23" t="n">
        <v>54</v>
      </c>
      <c r="F17" s="24" t="n">
        <v>1.7</v>
      </c>
      <c r="G17" s="25" t="n">
        <v>185</v>
      </c>
      <c r="H17" s="26" t="n">
        <v>16</v>
      </c>
      <c r="I17" s="27" t="n">
        <v>5</v>
      </c>
      <c r="J17" s="25" t="n">
        <v>9800</v>
      </c>
      <c r="K17" s="12" t="s">
        <v>125</v>
      </c>
      <c r="L17" s="28" t="s">
        <v>164</v>
      </c>
    </row>
    <row r="18" customFormat="false" ht="20.85" hidden="false" customHeight="false" outlineLevel="0" collapsed="false">
      <c r="A18" s="14" t="s">
        <v>160</v>
      </c>
      <c r="B18" s="14" t="s">
        <v>161</v>
      </c>
      <c r="C18" s="14" t="s">
        <v>165</v>
      </c>
      <c r="D18" s="14" t="s">
        <v>166</v>
      </c>
      <c r="E18" s="29" t="n">
        <v>61</v>
      </c>
      <c r="F18" s="30" t="n">
        <v>1.6</v>
      </c>
      <c r="G18" s="31" t="n">
        <v>164</v>
      </c>
      <c r="H18" s="32" t="n">
        <v>15</v>
      </c>
      <c r="I18" s="33" t="n">
        <v>4</v>
      </c>
      <c r="J18" s="31" t="n">
        <v>3100</v>
      </c>
      <c r="K18" s="14" t="s">
        <v>125</v>
      </c>
      <c r="L18" s="34" t="s">
        <v>167</v>
      </c>
    </row>
    <row r="19" customFormat="false" ht="15" hidden="false" customHeight="false" outlineLevel="0" collapsed="false">
      <c r="A19" s="12" t="s">
        <v>168</v>
      </c>
      <c r="B19" s="12" t="s">
        <v>169</v>
      </c>
      <c r="C19" s="12" t="s">
        <v>170</v>
      </c>
      <c r="D19" s="12" t="s">
        <v>171</v>
      </c>
      <c r="E19" s="23" t="n">
        <v>16</v>
      </c>
      <c r="F19" s="24" t="n">
        <v>2</v>
      </c>
      <c r="G19" s="25" t="n">
        <v>625</v>
      </c>
      <c r="H19" s="26" t="n">
        <v>8</v>
      </c>
      <c r="I19" s="27" t="n">
        <v>11</v>
      </c>
      <c r="J19" s="25" t="n">
        <v>52000</v>
      </c>
      <c r="K19" s="12" t="s">
        <v>125</v>
      </c>
      <c r="L19" s="28" t="s">
        <v>172</v>
      </c>
    </row>
    <row r="20" customFormat="false" ht="15" hidden="false" customHeight="false" outlineLevel="0" collapsed="false">
      <c r="A20" s="14" t="s">
        <v>168</v>
      </c>
      <c r="B20" s="14" t="s">
        <v>169</v>
      </c>
      <c r="C20" s="14" t="s">
        <v>173</v>
      </c>
      <c r="D20" s="14" t="s">
        <v>174</v>
      </c>
      <c r="E20" s="29" t="n">
        <v>24</v>
      </c>
      <c r="F20" s="30" t="n">
        <v>1.5</v>
      </c>
      <c r="G20" s="31" t="n">
        <v>417</v>
      </c>
      <c r="H20" s="32" t="n">
        <v>18</v>
      </c>
      <c r="I20" s="33" t="n">
        <v>9</v>
      </c>
      <c r="J20" s="31" t="n">
        <v>4200</v>
      </c>
      <c r="K20" s="14" t="s">
        <v>175</v>
      </c>
      <c r="L20" s="34" t="s">
        <v>176</v>
      </c>
    </row>
    <row r="21" customFormat="false" ht="15" hidden="false" customHeight="false" outlineLevel="0" collapsed="false">
      <c r="A21" s="12" t="s">
        <v>168</v>
      </c>
      <c r="B21" s="12" t="s">
        <v>169</v>
      </c>
      <c r="C21" s="12" t="s">
        <v>177</v>
      </c>
      <c r="D21" s="12" t="s">
        <v>178</v>
      </c>
      <c r="E21" s="23" t="n">
        <v>5.2</v>
      </c>
      <c r="F21" s="24" t="n">
        <v>1.7</v>
      </c>
      <c r="G21" s="25" t="n">
        <v>1923</v>
      </c>
      <c r="H21" s="26" t="n">
        <v>5</v>
      </c>
      <c r="I21" s="27" t="n">
        <v>17</v>
      </c>
      <c r="J21" s="25" t="n">
        <v>16800</v>
      </c>
      <c r="K21" s="12" t="s">
        <v>175</v>
      </c>
      <c r="L21" s="28" t="s">
        <v>179</v>
      </c>
    </row>
    <row r="22" customFormat="false" ht="15" hidden="false" customHeight="false" outlineLevel="0" collapsed="false">
      <c r="A22" s="14" t="s">
        <v>168</v>
      </c>
      <c r="B22" s="14" t="s">
        <v>169</v>
      </c>
      <c r="C22" s="14" t="s">
        <v>180</v>
      </c>
      <c r="D22" s="14" t="s">
        <v>181</v>
      </c>
      <c r="E22" s="29" t="n">
        <v>21</v>
      </c>
      <c r="F22" s="30" t="n">
        <v>1.4</v>
      </c>
      <c r="G22" s="31" t="n">
        <v>476</v>
      </c>
      <c r="H22" s="32" t="n">
        <v>12</v>
      </c>
      <c r="I22" s="33" t="n">
        <v>6</v>
      </c>
      <c r="J22" s="31" t="n">
        <v>11200</v>
      </c>
      <c r="K22" s="14" t="s">
        <v>175</v>
      </c>
      <c r="L22" s="34" t="s">
        <v>182</v>
      </c>
    </row>
    <row r="23" customFormat="false" ht="20.85" hidden="false" customHeight="false" outlineLevel="0" collapsed="false">
      <c r="A23" s="12" t="s">
        <v>183</v>
      </c>
      <c r="B23" s="12" t="s">
        <v>184</v>
      </c>
      <c r="C23" s="12" t="s">
        <v>185</v>
      </c>
      <c r="D23" s="12" t="s">
        <v>186</v>
      </c>
      <c r="E23" s="23" t="n">
        <v>3.8</v>
      </c>
      <c r="F23" s="24" t="n">
        <v>1.3</v>
      </c>
      <c r="G23" s="25" t="n">
        <v>2632</v>
      </c>
      <c r="H23" s="26" t="n">
        <v>4</v>
      </c>
      <c r="I23" s="27" t="n">
        <v>1</v>
      </c>
      <c r="J23" s="25" t="n">
        <v>310000</v>
      </c>
      <c r="K23" s="12" t="s">
        <v>175</v>
      </c>
      <c r="L23" s="28" t="s">
        <v>187</v>
      </c>
    </row>
    <row r="24" customFormat="false" ht="20.85" hidden="false" customHeight="false" outlineLevel="0" collapsed="false">
      <c r="A24" s="14" t="s">
        <v>183</v>
      </c>
      <c r="B24" s="14" t="s">
        <v>184</v>
      </c>
      <c r="C24" s="14" t="s">
        <v>188</v>
      </c>
      <c r="D24" s="14" t="s">
        <v>189</v>
      </c>
      <c r="E24" s="29" t="n">
        <v>2.9</v>
      </c>
      <c r="F24" s="30" t="n">
        <v>1.2</v>
      </c>
      <c r="G24" s="31" t="n">
        <v>3448</v>
      </c>
      <c r="H24" s="32" t="n">
        <v>3</v>
      </c>
      <c r="I24" s="33" t="n">
        <v>45</v>
      </c>
      <c r="J24" s="31" t="n">
        <v>89000</v>
      </c>
      <c r="K24" s="14" t="s">
        <v>175</v>
      </c>
      <c r="L24" s="34" t="s">
        <v>190</v>
      </c>
    </row>
    <row r="25" customFormat="false" ht="20.85" hidden="false" customHeight="false" outlineLevel="0" collapsed="false">
      <c r="A25" s="12" t="s">
        <v>183</v>
      </c>
      <c r="B25" s="12" t="s">
        <v>184</v>
      </c>
      <c r="C25" s="12" t="s">
        <v>191</v>
      </c>
      <c r="D25" s="12" t="s">
        <v>192</v>
      </c>
      <c r="E25" s="23" t="n">
        <v>3.1</v>
      </c>
      <c r="F25" s="24" t="n">
        <v>1.3</v>
      </c>
      <c r="G25" s="25" t="n">
        <v>3226</v>
      </c>
      <c r="H25" s="26" t="n">
        <v>4</v>
      </c>
      <c r="I25" s="27" t="n">
        <v>22</v>
      </c>
      <c r="J25" s="25" t="n">
        <v>18500</v>
      </c>
      <c r="K25" s="12" t="s">
        <v>175</v>
      </c>
      <c r="L25" s="28" t="s">
        <v>193</v>
      </c>
    </row>
    <row r="26" customFormat="false" ht="15" hidden="false" customHeight="false" outlineLevel="0" collapsed="false">
      <c r="A26" s="14" t="s">
        <v>183</v>
      </c>
      <c r="B26" s="14" t="s">
        <v>184</v>
      </c>
      <c r="C26" s="14" t="s">
        <v>194</v>
      </c>
      <c r="D26" s="14" t="s">
        <v>195</v>
      </c>
      <c r="E26" s="29" t="n">
        <v>3.5</v>
      </c>
      <c r="F26" s="30" t="n">
        <v>1.4</v>
      </c>
      <c r="G26" s="31" t="n">
        <v>2857</v>
      </c>
      <c r="H26" s="32" t="n">
        <v>4</v>
      </c>
      <c r="I26" s="33" t="n">
        <v>9</v>
      </c>
      <c r="J26" s="31" t="n">
        <v>46000</v>
      </c>
      <c r="K26" s="14" t="s">
        <v>175</v>
      </c>
      <c r="L26" s="34" t="s">
        <v>196</v>
      </c>
    </row>
    <row r="27" customFormat="false" ht="20.85" hidden="false" customHeight="false" outlineLevel="0" collapsed="false">
      <c r="A27" s="12" t="s">
        <v>197</v>
      </c>
      <c r="B27" s="12" t="s">
        <v>198</v>
      </c>
      <c r="C27" s="12" t="s">
        <v>199</v>
      </c>
      <c r="D27" s="12" t="s">
        <v>200</v>
      </c>
      <c r="E27" s="23" t="n">
        <v>2.6</v>
      </c>
      <c r="F27" s="24" t="n">
        <v>1.5</v>
      </c>
      <c r="G27" s="25" t="n">
        <v>3846</v>
      </c>
      <c r="H27" s="26" t="n">
        <v>5</v>
      </c>
      <c r="I27" s="27" t="n">
        <v>14</v>
      </c>
      <c r="J27" s="25" t="n">
        <v>38500</v>
      </c>
      <c r="K27" s="12" t="s">
        <v>175</v>
      </c>
      <c r="L27" s="28" t="s">
        <v>201</v>
      </c>
    </row>
    <row r="28" customFormat="false" ht="20.85" hidden="false" customHeight="false" outlineLevel="0" collapsed="false">
      <c r="A28" s="14" t="s">
        <v>197</v>
      </c>
      <c r="B28" s="14" t="s">
        <v>198</v>
      </c>
      <c r="C28" s="14" t="s">
        <v>202</v>
      </c>
      <c r="D28" s="14" t="s">
        <v>203</v>
      </c>
      <c r="E28" s="29" t="n">
        <v>4.4</v>
      </c>
      <c r="F28" s="30" t="n">
        <v>1.2</v>
      </c>
      <c r="G28" s="31" t="n">
        <v>2273</v>
      </c>
      <c r="H28" s="32" t="n">
        <v>6</v>
      </c>
      <c r="I28" s="33" t="n">
        <v>-15</v>
      </c>
      <c r="J28" s="31" t="n">
        <v>71000</v>
      </c>
      <c r="K28" s="14" t="s">
        <v>175</v>
      </c>
      <c r="L28" s="34" t="s">
        <v>204</v>
      </c>
    </row>
    <row r="29" customFormat="false" ht="15" hidden="false" customHeight="false" outlineLevel="0" collapsed="false">
      <c r="A29" s="12" t="s">
        <v>197</v>
      </c>
      <c r="B29" s="12" t="s">
        <v>198</v>
      </c>
      <c r="C29" s="12" t="s">
        <v>205</v>
      </c>
      <c r="D29" s="12" t="s">
        <v>206</v>
      </c>
      <c r="E29" s="23" t="n">
        <v>3.9</v>
      </c>
      <c r="F29" s="24" t="n">
        <v>1.3</v>
      </c>
      <c r="G29" s="25" t="n">
        <v>2564</v>
      </c>
      <c r="H29" s="26" t="n">
        <v>5</v>
      </c>
      <c r="I29" s="27" t="n">
        <v>7</v>
      </c>
      <c r="J29" s="25" t="n">
        <v>22300</v>
      </c>
      <c r="K29" s="12" t="s">
        <v>175</v>
      </c>
      <c r="L29" s="28" t="s">
        <v>207</v>
      </c>
    </row>
    <row r="30" customFormat="false" ht="20.85" hidden="false" customHeight="false" outlineLevel="0" collapsed="false">
      <c r="A30" s="14" t="s">
        <v>208</v>
      </c>
      <c r="B30" s="14" t="s">
        <v>209</v>
      </c>
      <c r="C30" s="14" t="s">
        <v>210</v>
      </c>
      <c r="D30" s="14" t="s">
        <v>211</v>
      </c>
      <c r="E30" s="29" t="n">
        <v>3.2</v>
      </c>
      <c r="F30" s="30" t="n">
        <v>1.6</v>
      </c>
      <c r="G30" s="31" t="n">
        <v>3125</v>
      </c>
      <c r="H30" s="32" t="n">
        <v>3</v>
      </c>
      <c r="I30" s="33" t="n">
        <v>12</v>
      </c>
      <c r="J30" s="31" t="n">
        <v>128000</v>
      </c>
      <c r="K30" s="14" t="s">
        <v>175</v>
      </c>
      <c r="L30" s="34" t="s">
        <v>212</v>
      </c>
    </row>
    <row r="31" customFormat="false" ht="20.85" hidden="false" customHeight="false" outlineLevel="0" collapsed="false">
      <c r="A31" s="12" t="s">
        <v>208</v>
      </c>
      <c r="B31" s="12" t="s">
        <v>209</v>
      </c>
      <c r="C31" s="12" t="s">
        <v>213</v>
      </c>
      <c r="D31" s="12" t="s">
        <v>214</v>
      </c>
      <c r="E31" s="23" t="n">
        <v>2.1</v>
      </c>
      <c r="F31" s="24" t="n">
        <v>1.8</v>
      </c>
      <c r="G31" s="25" t="n">
        <v>4762</v>
      </c>
      <c r="H31" s="26" t="n">
        <v>4</v>
      </c>
      <c r="I31" s="27" t="n">
        <v>14</v>
      </c>
      <c r="J31" s="25" t="n">
        <v>168000</v>
      </c>
      <c r="K31" s="12" t="s">
        <v>175</v>
      </c>
      <c r="L31" s="28" t="s">
        <v>215</v>
      </c>
    </row>
    <row r="32" customFormat="false" ht="20.85" hidden="false" customHeight="false" outlineLevel="0" collapsed="false">
      <c r="A32" s="14" t="s">
        <v>208</v>
      </c>
      <c r="B32" s="14" t="s">
        <v>209</v>
      </c>
      <c r="C32" s="14" t="s">
        <v>216</v>
      </c>
      <c r="D32" s="14" t="s">
        <v>217</v>
      </c>
      <c r="E32" s="29" t="n">
        <v>38</v>
      </c>
      <c r="F32" s="30" t="n">
        <v>2.2</v>
      </c>
      <c r="G32" s="31" t="n">
        <v>263</v>
      </c>
      <c r="H32" s="32" t="n">
        <v>20</v>
      </c>
      <c r="I32" s="33" t="n">
        <v>5</v>
      </c>
      <c r="J32" s="31" t="n">
        <v>9600</v>
      </c>
      <c r="K32" s="14" t="s">
        <v>175</v>
      </c>
      <c r="L32" s="34" t="s">
        <v>218</v>
      </c>
    </row>
    <row r="33" customFormat="false" ht="20.85" hidden="false" customHeight="false" outlineLevel="0" collapsed="false">
      <c r="A33" s="12" t="s">
        <v>208</v>
      </c>
      <c r="B33" s="12" t="s">
        <v>209</v>
      </c>
      <c r="C33" s="12" t="s">
        <v>219</v>
      </c>
      <c r="D33" s="12" t="s">
        <v>220</v>
      </c>
      <c r="E33" s="23" t="n">
        <v>26</v>
      </c>
      <c r="F33" s="24" t="n">
        <v>1.6</v>
      </c>
      <c r="G33" s="25" t="n">
        <v>385</v>
      </c>
      <c r="H33" s="26" t="n">
        <v>14</v>
      </c>
      <c r="I33" s="27" t="n">
        <v>6</v>
      </c>
      <c r="J33" s="25" t="n">
        <v>8100</v>
      </c>
      <c r="K33" s="12" t="s">
        <v>175</v>
      </c>
      <c r="L33" s="28" t="s">
        <v>221</v>
      </c>
    </row>
    <row r="34" customFormat="false" ht="15" hidden="false" customHeight="false" outlineLevel="0" collapsed="false">
      <c r="A34" s="14" t="s">
        <v>208</v>
      </c>
      <c r="B34" s="14" t="s">
        <v>209</v>
      </c>
      <c r="C34" s="14" t="s">
        <v>222</v>
      </c>
      <c r="D34" s="14" t="s">
        <v>223</v>
      </c>
      <c r="E34" s="29" t="n">
        <v>41</v>
      </c>
      <c r="F34" s="30" t="n">
        <v>1.9</v>
      </c>
      <c r="G34" s="31" t="n">
        <v>244</v>
      </c>
      <c r="H34" s="32" t="n">
        <v>22</v>
      </c>
      <c r="I34" s="33" t="n">
        <v>4</v>
      </c>
      <c r="J34" s="31" t="n">
        <v>13400</v>
      </c>
      <c r="K34" s="14" t="s">
        <v>175</v>
      </c>
      <c r="L34" s="34" t="s">
        <v>224</v>
      </c>
    </row>
    <row r="35" customFormat="false" ht="15" hidden="false" customHeight="false" outlineLevel="0" collapsed="false">
      <c r="A35" s="12" t="s">
        <v>225</v>
      </c>
      <c r="B35" s="12" t="s">
        <v>226</v>
      </c>
      <c r="C35" s="12" t="s">
        <v>227</v>
      </c>
      <c r="D35" s="12" t="s">
        <v>228</v>
      </c>
      <c r="E35" s="23" t="n">
        <v>1.4</v>
      </c>
      <c r="F35" s="24" t="n">
        <v>1.7</v>
      </c>
      <c r="G35" s="25" t="n">
        <v>7143</v>
      </c>
      <c r="H35" s="26" t="n">
        <v>2</v>
      </c>
      <c r="I35" s="27" t="n">
        <v>21</v>
      </c>
      <c r="J35" s="25" t="n">
        <v>84000</v>
      </c>
      <c r="K35" s="12" t="s">
        <v>175</v>
      </c>
      <c r="L35" s="28" t="s">
        <v>229</v>
      </c>
    </row>
    <row r="36" customFormat="false" ht="20.85" hidden="false" customHeight="false" outlineLevel="0" collapsed="false">
      <c r="A36" s="14" t="s">
        <v>225</v>
      </c>
      <c r="B36" s="14" t="s">
        <v>226</v>
      </c>
      <c r="C36" s="14" t="s">
        <v>230</v>
      </c>
      <c r="D36" s="14" t="s">
        <v>231</v>
      </c>
      <c r="E36" s="29" t="n">
        <v>2.8</v>
      </c>
      <c r="F36" s="30" t="n">
        <v>1.6</v>
      </c>
      <c r="G36" s="31" t="n">
        <v>3571</v>
      </c>
      <c r="H36" s="32" t="n">
        <v>5</v>
      </c>
      <c r="I36" s="33" t="n">
        <v>9</v>
      </c>
      <c r="J36" s="31" t="n">
        <v>71500</v>
      </c>
      <c r="K36" s="14" t="s">
        <v>175</v>
      </c>
      <c r="L36" s="34" t="s">
        <v>232</v>
      </c>
    </row>
    <row r="37" customFormat="false" ht="20.85" hidden="false" customHeight="false" outlineLevel="0" collapsed="false">
      <c r="A37" s="12" t="s">
        <v>225</v>
      </c>
      <c r="B37" s="12" t="s">
        <v>226</v>
      </c>
      <c r="C37" s="12" t="s">
        <v>233</v>
      </c>
      <c r="D37" s="12" t="s">
        <v>234</v>
      </c>
      <c r="E37" s="23" t="n">
        <v>1.9</v>
      </c>
      <c r="F37" s="24" t="n">
        <v>1.4</v>
      </c>
      <c r="G37" s="25" t="n">
        <v>5263</v>
      </c>
      <c r="H37" s="26" t="n">
        <v>3</v>
      </c>
      <c r="I37" s="27" t="n">
        <v>15</v>
      </c>
      <c r="J37" s="25" t="n">
        <v>42800</v>
      </c>
      <c r="K37" s="12" t="s">
        <v>175</v>
      </c>
      <c r="L37" s="28" t="s">
        <v>235</v>
      </c>
    </row>
    <row r="38" customFormat="false" ht="20.85" hidden="false" customHeight="false" outlineLevel="0" collapsed="false">
      <c r="A38" s="14" t="s">
        <v>225</v>
      </c>
      <c r="B38" s="14" t="s">
        <v>226</v>
      </c>
      <c r="C38" s="14" t="s">
        <v>236</v>
      </c>
      <c r="D38" s="14" t="s">
        <v>237</v>
      </c>
      <c r="E38" s="29" t="n">
        <v>1.1</v>
      </c>
      <c r="F38" s="30" t="n">
        <v>1.3</v>
      </c>
      <c r="G38" s="31" t="n">
        <v>9091</v>
      </c>
      <c r="H38" s="32" t="n">
        <v>2</v>
      </c>
      <c r="I38" s="33" t="n">
        <v>18</v>
      </c>
      <c r="J38" s="31" t="n">
        <v>96400</v>
      </c>
      <c r="K38" s="14" t="s">
        <v>175</v>
      </c>
      <c r="L38" s="34" t="s">
        <v>238</v>
      </c>
    </row>
    <row r="39" customFormat="false" ht="20.85" hidden="false" customHeight="false" outlineLevel="0" collapsed="false">
      <c r="A39" s="12" t="s">
        <v>239</v>
      </c>
      <c r="B39" s="12" t="s">
        <v>240</v>
      </c>
      <c r="C39" s="12" t="s">
        <v>241</v>
      </c>
      <c r="D39" s="12" t="s">
        <v>242</v>
      </c>
      <c r="E39" s="23" t="n">
        <v>46</v>
      </c>
      <c r="F39" s="24" t="n">
        <v>1.4</v>
      </c>
      <c r="G39" s="25" t="n">
        <v>217</v>
      </c>
      <c r="H39" s="26" t="n">
        <v>15</v>
      </c>
      <c r="I39" s="27" t="n">
        <v>15</v>
      </c>
      <c r="J39" s="25" t="n">
        <v>15200</v>
      </c>
      <c r="K39" s="12" t="s">
        <v>175</v>
      </c>
      <c r="L39" s="28" t="s">
        <v>243</v>
      </c>
    </row>
    <row r="40" customFormat="false" ht="15" hidden="false" customHeight="false" outlineLevel="0" collapsed="false">
      <c r="A40" s="14" t="s">
        <v>239</v>
      </c>
      <c r="B40" s="14" t="s">
        <v>240</v>
      </c>
      <c r="C40" s="14" t="s">
        <v>244</v>
      </c>
      <c r="D40" s="14" t="s">
        <v>245</v>
      </c>
      <c r="E40" s="29" t="n">
        <v>17</v>
      </c>
      <c r="F40" s="30" t="n">
        <v>1.6</v>
      </c>
      <c r="G40" s="31" t="n">
        <v>588</v>
      </c>
      <c r="H40" s="32" t="n">
        <v>8</v>
      </c>
      <c r="I40" s="33" t="n">
        <v>3</v>
      </c>
      <c r="J40" s="31" t="n">
        <v>18900</v>
      </c>
      <c r="K40" s="14" t="s">
        <v>175</v>
      </c>
      <c r="L40" s="34" t="s">
        <v>246</v>
      </c>
    </row>
    <row r="41" customFormat="false" ht="20.85" hidden="false" customHeight="false" outlineLevel="0" collapsed="false">
      <c r="A41" s="12" t="s">
        <v>239</v>
      </c>
      <c r="B41" s="12" t="s">
        <v>240</v>
      </c>
      <c r="C41" s="12" t="s">
        <v>247</v>
      </c>
      <c r="D41" s="12" t="s">
        <v>248</v>
      </c>
      <c r="E41" s="23" t="n">
        <v>29</v>
      </c>
      <c r="F41" s="24" t="n">
        <v>1.5</v>
      </c>
      <c r="G41" s="25" t="n">
        <v>345</v>
      </c>
      <c r="H41" s="26" t="n">
        <v>13</v>
      </c>
      <c r="I41" s="27" t="n">
        <v>2</v>
      </c>
      <c r="J41" s="25" t="n">
        <v>14600</v>
      </c>
      <c r="K41" s="12" t="s">
        <v>175</v>
      </c>
      <c r="L41" s="28" t="s">
        <v>249</v>
      </c>
    </row>
    <row r="42" customFormat="false" ht="15" hidden="false" customHeight="false" outlineLevel="0" collapsed="false">
      <c r="A42" s="14" t="s">
        <v>239</v>
      </c>
      <c r="B42" s="14" t="s">
        <v>240</v>
      </c>
      <c r="C42" s="14" t="s">
        <v>250</v>
      </c>
      <c r="D42" s="14" t="s">
        <v>251</v>
      </c>
      <c r="E42" s="29" t="n">
        <v>33</v>
      </c>
      <c r="F42" s="30" t="n">
        <v>1.5</v>
      </c>
      <c r="G42" s="31" t="n">
        <v>303</v>
      </c>
      <c r="H42" s="32" t="n">
        <v>16</v>
      </c>
      <c r="I42" s="33" t="n">
        <v>3</v>
      </c>
      <c r="J42" s="31" t="n">
        <v>12100</v>
      </c>
      <c r="K42" s="14" t="s">
        <v>175</v>
      </c>
      <c r="L42" s="34" t="s">
        <v>252</v>
      </c>
    </row>
    <row r="43" customFormat="false" ht="20.85" hidden="false" customHeight="false" outlineLevel="0" collapsed="false">
      <c r="A43" s="12" t="s">
        <v>253</v>
      </c>
      <c r="B43" s="12" t="s">
        <v>254</v>
      </c>
      <c r="C43" s="12" t="s">
        <v>255</v>
      </c>
      <c r="D43" s="12" t="s">
        <v>256</v>
      </c>
      <c r="E43" s="23" t="n">
        <v>1.8</v>
      </c>
      <c r="F43" s="24" t="n">
        <v>1.6</v>
      </c>
      <c r="G43" s="25" t="n">
        <v>5556</v>
      </c>
      <c r="H43" s="26" t="n">
        <v>2</v>
      </c>
      <c r="I43" s="27" t="n">
        <v>16</v>
      </c>
      <c r="J43" s="25" t="n">
        <v>71200</v>
      </c>
      <c r="K43" s="12" t="s">
        <v>175</v>
      </c>
      <c r="L43" s="28" t="s">
        <v>257</v>
      </c>
    </row>
    <row r="44" customFormat="false" ht="20.85" hidden="false" customHeight="false" outlineLevel="0" collapsed="false">
      <c r="A44" s="14" t="s">
        <v>253</v>
      </c>
      <c r="B44" s="14" t="s">
        <v>254</v>
      </c>
      <c r="C44" s="14" t="s">
        <v>258</v>
      </c>
      <c r="D44" s="14" t="s">
        <v>259</v>
      </c>
      <c r="E44" s="29" t="n">
        <v>4.6</v>
      </c>
      <c r="F44" s="30" t="n">
        <v>1.2</v>
      </c>
      <c r="G44" s="31" t="n">
        <v>2174</v>
      </c>
      <c r="H44" s="32" t="n">
        <v>9</v>
      </c>
      <c r="I44" s="33" t="n">
        <v>19</v>
      </c>
      <c r="J44" s="31" t="n">
        <v>9100</v>
      </c>
      <c r="K44" s="14" t="s">
        <v>175</v>
      </c>
      <c r="L44" s="34" t="s">
        <v>260</v>
      </c>
    </row>
    <row r="45" customFormat="false" ht="15" hidden="false" customHeight="false" outlineLevel="0" collapsed="false">
      <c r="A45" s="12" t="s">
        <v>253</v>
      </c>
      <c r="B45" s="12" t="s">
        <v>254</v>
      </c>
      <c r="C45" s="12" t="s">
        <v>261</v>
      </c>
      <c r="D45" s="12" t="s">
        <v>262</v>
      </c>
      <c r="E45" s="23" t="n">
        <v>2.3</v>
      </c>
      <c r="F45" s="24" t="n">
        <v>1.5</v>
      </c>
      <c r="G45" s="25" t="n">
        <v>4348</v>
      </c>
      <c r="H45" s="26" t="n">
        <v>6</v>
      </c>
      <c r="I45" s="27" t="n">
        <v>11</v>
      </c>
      <c r="J45" s="25" t="n">
        <v>8700</v>
      </c>
      <c r="K45" s="12" t="s">
        <v>175</v>
      </c>
      <c r="L45" s="28" t="s">
        <v>263</v>
      </c>
    </row>
    <row r="46" customFormat="false" ht="20.85" hidden="false" customHeight="false" outlineLevel="0" collapsed="false">
      <c r="A46" s="14" t="s">
        <v>253</v>
      </c>
      <c r="B46" s="14" t="s">
        <v>254</v>
      </c>
      <c r="C46" s="14" t="s">
        <v>264</v>
      </c>
      <c r="D46" s="14" t="s">
        <v>265</v>
      </c>
      <c r="E46" s="29" t="n">
        <v>3.4</v>
      </c>
      <c r="F46" s="30" t="n">
        <v>1.7</v>
      </c>
      <c r="G46" s="31" t="n">
        <v>2941</v>
      </c>
      <c r="H46" s="32" t="n">
        <v>6</v>
      </c>
      <c r="I46" s="33" t="n">
        <v>24</v>
      </c>
      <c r="J46" s="31" t="n">
        <v>21300</v>
      </c>
      <c r="K46" s="14" t="s">
        <v>175</v>
      </c>
      <c r="L46" s="34" t="s">
        <v>266</v>
      </c>
    </row>
    <row r="47" customFormat="false" ht="15" hidden="false" customHeight="false" outlineLevel="0" collapsed="false">
      <c r="A47" s="12" t="s">
        <v>253</v>
      </c>
      <c r="B47" s="12" t="s">
        <v>254</v>
      </c>
      <c r="C47" s="12" t="s">
        <v>267</v>
      </c>
      <c r="D47" s="12" t="s">
        <v>268</v>
      </c>
      <c r="E47" s="23" t="n">
        <v>2.9</v>
      </c>
      <c r="F47" s="24" t="n">
        <v>1.4</v>
      </c>
      <c r="G47" s="25" t="n">
        <v>3448</v>
      </c>
      <c r="H47" s="26" t="n">
        <v>7</v>
      </c>
      <c r="I47" s="27" t="n">
        <v>13</v>
      </c>
      <c r="J47" s="25" t="n">
        <v>11400</v>
      </c>
      <c r="K47" s="12" t="s">
        <v>175</v>
      </c>
      <c r="L47" s="28" t="s">
        <v>269</v>
      </c>
    </row>
    <row r="48" customFormat="false" ht="20.85" hidden="false" customHeight="false" outlineLevel="0" collapsed="false">
      <c r="A48" s="14" t="s">
        <v>253</v>
      </c>
      <c r="B48" s="14" t="s">
        <v>254</v>
      </c>
      <c r="C48" s="14" t="s">
        <v>270</v>
      </c>
      <c r="D48" s="14" t="s">
        <v>271</v>
      </c>
      <c r="E48" s="29" t="n">
        <v>6.1</v>
      </c>
      <c r="F48" s="30" t="n">
        <v>1.1</v>
      </c>
      <c r="G48" s="31" t="n">
        <v>1639</v>
      </c>
      <c r="H48" s="32" t="n">
        <v>10</v>
      </c>
      <c r="I48" s="33" t="n">
        <v>38</v>
      </c>
      <c r="J48" s="31" t="n">
        <v>6300</v>
      </c>
      <c r="K48" s="14" t="s">
        <v>175</v>
      </c>
      <c r="L48" s="34" t="s">
        <v>272</v>
      </c>
    </row>
  </sheetData>
  <mergeCells count="2">
    <mergeCell ref="A1:L1"/>
    <mergeCell ref="A2:L2"/>
  </mergeCells>
  <conditionalFormatting sqref="I5:I48">
    <cfRule type="colorScale" priority="2">
      <colorScale>
        <cfvo type="min" val="0"/>
        <cfvo type="num" val="0"/>
        <cfvo type="max" val="0"/>
        <color rgb="FFF2A6A0"/>
        <color rgb="FFFFFFFF"/>
        <color rgb="FFA8D8B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7" min="5" style="0" width="13"/>
    <col collapsed="false" customWidth="true" hidden="false" outlineLevel="0" max="9" min="8" style="0" width="30"/>
    <col collapsed="false" customWidth="true" hidden="false" outlineLevel="0" max="11" min="10" style="0" width="14"/>
    <col collapsed="false" customWidth="true" hidden="false" outlineLevel="0" max="12" min="12" style="0" width="13"/>
    <col collapsed="false" customWidth="true" hidden="false" outlineLevel="0" max="13" min="13" style="0" width="40"/>
  </cols>
  <sheetData>
    <row r="1" customFormat="false" ht="25.5" hidden="false" customHeight="true" outlineLevel="0" collapsed="false">
      <c r="A1" s="1" t="s">
        <v>273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true" outlineLevel="0" collapsed="false">
      <c r="A2" s="2" t="s">
        <v>274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45.75" hidden="false" customHeight="true" outlineLevel="0" collapsed="false">
      <c r="A4" s="11" t="s">
        <v>275</v>
      </c>
      <c r="B4" s="11" t="s">
        <v>276</v>
      </c>
      <c r="C4" s="11" t="s">
        <v>277</v>
      </c>
      <c r="D4" s="11" t="s">
        <v>278</v>
      </c>
      <c r="E4" s="11" t="s">
        <v>279</v>
      </c>
      <c r="F4" s="11" t="s">
        <v>280</v>
      </c>
      <c r="G4" s="11" t="s">
        <v>281</v>
      </c>
      <c r="H4" s="11" t="s">
        <v>282</v>
      </c>
      <c r="I4" s="11" t="s">
        <v>283</v>
      </c>
      <c r="J4" s="11" t="s">
        <v>284</v>
      </c>
      <c r="K4" s="11" t="s">
        <v>285</v>
      </c>
      <c r="L4" s="11" t="s">
        <v>286</v>
      </c>
      <c r="M4" s="11" t="s">
        <v>287</v>
      </c>
    </row>
    <row r="5" customFormat="false" ht="15" hidden="false" customHeight="false" outlineLevel="0" collapsed="false">
      <c r="A5" s="12" t="s">
        <v>288</v>
      </c>
      <c r="B5" s="12" t="s">
        <v>85</v>
      </c>
      <c r="C5" s="12" t="s">
        <v>289</v>
      </c>
      <c r="D5" s="35" t="n">
        <v>30</v>
      </c>
      <c r="E5" s="36" t="n">
        <v>17.7</v>
      </c>
      <c r="F5" s="12" t="s">
        <v>290</v>
      </c>
      <c r="G5" s="12" t="s">
        <v>291</v>
      </c>
      <c r="H5" s="12" t="s">
        <v>292</v>
      </c>
      <c r="I5" s="12" t="s">
        <v>293</v>
      </c>
      <c r="J5" s="12" t="s">
        <v>294</v>
      </c>
      <c r="K5" s="37" t="n">
        <v>21</v>
      </c>
      <c r="L5" s="23" t="n">
        <v>58</v>
      </c>
      <c r="M5" s="28" t="s">
        <v>295</v>
      </c>
    </row>
    <row r="6" customFormat="false" ht="15" hidden="false" customHeight="false" outlineLevel="0" collapsed="false">
      <c r="A6" s="14" t="s">
        <v>296</v>
      </c>
      <c r="B6" s="14" t="s">
        <v>84</v>
      </c>
      <c r="C6" s="14" t="s">
        <v>297</v>
      </c>
      <c r="D6" s="38" t="n">
        <v>16</v>
      </c>
      <c r="E6" s="39" t="n">
        <v>9.4</v>
      </c>
      <c r="F6" s="14" t="s">
        <v>298</v>
      </c>
      <c r="G6" s="14" t="s">
        <v>299</v>
      </c>
      <c r="H6" s="14" t="s">
        <v>300</v>
      </c>
      <c r="I6" s="14" t="s">
        <v>301</v>
      </c>
      <c r="J6" s="14" t="s">
        <v>294</v>
      </c>
      <c r="K6" s="40" t="n">
        <v>33</v>
      </c>
      <c r="L6" s="29" t="n">
        <v>33</v>
      </c>
      <c r="M6" s="34" t="s">
        <v>302</v>
      </c>
    </row>
    <row r="7" customFormat="false" ht="15" hidden="false" customHeight="false" outlineLevel="0" collapsed="false">
      <c r="A7" s="12" t="s">
        <v>303</v>
      </c>
      <c r="B7" s="12" t="s">
        <v>81</v>
      </c>
      <c r="C7" s="12" t="s">
        <v>289</v>
      </c>
      <c r="D7" s="35" t="n">
        <v>6.4</v>
      </c>
      <c r="E7" s="36" t="n">
        <v>3.8</v>
      </c>
      <c r="F7" s="12" t="s">
        <v>304</v>
      </c>
      <c r="G7" s="12" t="s">
        <v>305</v>
      </c>
      <c r="H7" s="12" t="s">
        <v>306</v>
      </c>
      <c r="I7" s="12" t="s">
        <v>307</v>
      </c>
      <c r="J7" s="12" t="s">
        <v>294</v>
      </c>
      <c r="K7" s="37" t="n">
        <v>4</v>
      </c>
      <c r="L7" s="23" t="n">
        <v>29</v>
      </c>
      <c r="M7" s="28" t="s">
        <v>308</v>
      </c>
    </row>
    <row r="8" customFormat="false" ht="15" hidden="false" customHeight="false" outlineLevel="0" collapsed="false">
      <c r="A8" s="14" t="s">
        <v>309</v>
      </c>
      <c r="B8" s="14" t="s">
        <v>83</v>
      </c>
      <c r="C8" s="14" t="s">
        <v>297</v>
      </c>
      <c r="D8" s="38" t="n">
        <v>10</v>
      </c>
      <c r="E8" s="39" t="n">
        <v>5.9</v>
      </c>
      <c r="F8" s="14" t="s">
        <v>310</v>
      </c>
      <c r="G8" s="14" t="s">
        <v>311</v>
      </c>
      <c r="H8" s="14" t="s">
        <v>312</v>
      </c>
      <c r="I8" s="14" t="s">
        <v>313</v>
      </c>
      <c r="J8" s="14" t="s">
        <v>294</v>
      </c>
      <c r="K8" s="40" t="n">
        <v>6</v>
      </c>
      <c r="L8" s="29" t="n">
        <v>38</v>
      </c>
      <c r="M8" s="34" t="s">
        <v>314</v>
      </c>
    </row>
    <row r="9" customFormat="false" ht="15" hidden="false" customHeight="false" outlineLevel="0" collapsed="false">
      <c r="A9" s="12" t="s">
        <v>315</v>
      </c>
      <c r="B9" s="12" t="s">
        <v>316</v>
      </c>
      <c r="C9" s="12" t="s">
        <v>317</v>
      </c>
      <c r="D9" s="35" t="n">
        <v>14</v>
      </c>
      <c r="E9" s="36" t="n">
        <v>8.3</v>
      </c>
      <c r="F9" s="12" t="s">
        <v>318</v>
      </c>
      <c r="G9" s="12" t="s">
        <v>319</v>
      </c>
      <c r="H9" s="12" t="s">
        <v>320</v>
      </c>
      <c r="I9" s="12" t="s">
        <v>321</v>
      </c>
      <c r="J9" s="12" t="s">
        <v>294</v>
      </c>
      <c r="K9" s="37" t="n">
        <v>16.3</v>
      </c>
      <c r="L9" s="23" t="n">
        <v>22</v>
      </c>
      <c r="M9" s="28" t="s">
        <v>322</v>
      </c>
    </row>
    <row r="10" customFormat="false" ht="15" hidden="false" customHeight="false" outlineLevel="0" collapsed="false">
      <c r="A10" s="14" t="s">
        <v>323</v>
      </c>
      <c r="B10" s="14" t="s">
        <v>324</v>
      </c>
      <c r="C10" s="14" t="s">
        <v>297</v>
      </c>
      <c r="D10" s="38" t="n">
        <v>5.5</v>
      </c>
      <c r="E10" s="39" t="n">
        <v>3.3</v>
      </c>
      <c r="F10" s="14" t="s">
        <v>325</v>
      </c>
      <c r="G10" s="14" t="s">
        <v>326</v>
      </c>
      <c r="H10" s="14" t="s">
        <v>327</v>
      </c>
      <c r="I10" s="14" t="s">
        <v>328</v>
      </c>
      <c r="J10" s="14" t="s">
        <v>294</v>
      </c>
      <c r="K10" s="40" t="n">
        <v>2.5</v>
      </c>
      <c r="L10" s="29" t="n">
        <v>21</v>
      </c>
      <c r="M10" s="34" t="s">
        <v>329</v>
      </c>
    </row>
    <row r="11" customFormat="false" ht="15" hidden="false" customHeight="false" outlineLevel="0" collapsed="false">
      <c r="A11" s="12" t="s">
        <v>330</v>
      </c>
      <c r="B11" s="12" t="s">
        <v>331</v>
      </c>
      <c r="C11" s="12" t="s">
        <v>317</v>
      </c>
      <c r="D11" s="35" t="n">
        <v>3.8</v>
      </c>
      <c r="E11" s="36" t="n">
        <v>2.3</v>
      </c>
      <c r="F11" s="12" t="s">
        <v>319</v>
      </c>
      <c r="G11" s="12" t="s">
        <v>332</v>
      </c>
      <c r="H11" s="12" t="s">
        <v>333</v>
      </c>
      <c r="I11" s="12" t="s">
        <v>334</v>
      </c>
      <c r="J11" s="12" t="s">
        <v>335</v>
      </c>
      <c r="K11" s="37" t="n">
        <v>3</v>
      </c>
      <c r="L11" s="23" t="n">
        <v>108</v>
      </c>
      <c r="M11" s="28" t="s">
        <v>336</v>
      </c>
    </row>
    <row r="12" customFormat="false" ht="15" hidden="false" customHeight="false" outlineLevel="0" collapsed="false">
      <c r="A12" s="14" t="s">
        <v>337</v>
      </c>
      <c r="B12" s="14" t="s">
        <v>338</v>
      </c>
      <c r="C12" s="14" t="s">
        <v>339</v>
      </c>
      <c r="D12" s="38" t="n">
        <v>1.2</v>
      </c>
      <c r="E12" s="39" t="n">
        <v>0.7</v>
      </c>
      <c r="F12" s="14" t="s">
        <v>340</v>
      </c>
      <c r="G12" s="14" t="s">
        <v>341</v>
      </c>
      <c r="H12" s="14" t="s">
        <v>342</v>
      </c>
      <c r="I12" s="14" t="s">
        <v>343</v>
      </c>
      <c r="J12" s="14" t="s">
        <v>335</v>
      </c>
      <c r="K12" s="40" t="n">
        <v>0.5</v>
      </c>
      <c r="L12" s="29" t="n">
        <v>21</v>
      </c>
      <c r="M12" s="34" t="s">
        <v>344</v>
      </c>
    </row>
    <row r="13" customFormat="false" ht="15" hidden="false" customHeight="false" outlineLevel="0" collapsed="false">
      <c r="A13" s="12" t="s">
        <v>345</v>
      </c>
      <c r="B13" s="12" t="s">
        <v>346</v>
      </c>
      <c r="C13" s="12" t="s">
        <v>297</v>
      </c>
      <c r="D13" s="35" t="n">
        <v>2.1</v>
      </c>
      <c r="E13" s="36" t="n">
        <v>1.2</v>
      </c>
      <c r="F13" s="12" t="s">
        <v>347</v>
      </c>
      <c r="G13" s="12" t="s">
        <v>348</v>
      </c>
      <c r="H13" s="12" t="s">
        <v>349</v>
      </c>
      <c r="I13" s="12" t="s">
        <v>350</v>
      </c>
      <c r="J13" s="12" t="s">
        <v>335</v>
      </c>
      <c r="K13" s="37" t="n">
        <v>0.8</v>
      </c>
      <c r="L13" s="23" t="n">
        <v>26</v>
      </c>
      <c r="M13" s="28" t="s">
        <v>351</v>
      </c>
    </row>
    <row r="14" customFormat="false" ht="15" hidden="false" customHeight="false" outlineLevel="0" collapsed="false">
      <c r="A14" s="14" t="s">
        <v>352</v>
      </c>
      <c r="B14" s="14" t="s">
        <v>353</v>
      </c>
      <c r="C14" s="14" t="s">
        <v>317</v>
      </c>
      <c r="D14" s="38" t="n">
        <v>4.2</v>
      </c>
      <c r="E14" s="39" t="n">
        <v>2.5</v>
      </c>
      <c r="F14" s="14" t="s">
        <v>318</v>
      </c>
      <c r="G14" s="14" t="s">
        <v>354</v>
      </c>
      <c r="H14" s="14" t="s">
        <v>355</v>
      </c>
      <c r="I14" s="14" t="s">
        <v>356</v>
      </c>
      <c r="J14" s="14" t="s">
        <v>294</v>
      </c>
      <c r="K14" s="40" t="n">
        <v>2</v>
      </c>
      <c r="L14" s="29" t="n">
        <v>13</v>
      </c>
      <c r="M14" s="34" t="s">
        <v>357</v>
      </c>
    </row>
    <row r="15" customFormat="false" ht="15" hidden="false" customHeight="false" outlineLevel="0" collapsed="false">
      <c r="A15" s="12" t="s">
        <v>358</v>
      </c>
      <c r="B15" s="12" t="s">
        <v>359</v>
      </c>
      <c r="C15" s="12" t="s">
        <v>339</v>
      </c>
      <c r="D15" s="35" t="n">
        <v>1.8</v>
      </c>
      <c r="E15" s="36" t="n">
        <v>1.1</v>
      </c>
      <c r="F15" s="12" t="s">
        <v>360</v>
      </c>
      <c r="G15" s="12" t="s">
        <v>361</v>
      </c>
      <c r="H15" s="12" t="s">
        <v>362</v>
      </c>
      <c r="I15" s="12" t="s">
        <v>363</v>
      </c>
      <c r="J15" s="12" t="s">
        <v>335</v>
      </c>
      <c r="K15" s="37" t="n">
        <v>1.2</v>
      </c>
      <c r="L15" s="23" t="n">
        <v>46</v>
      </c>
      <c r="M15" s="28" t="s">
        <v>364</v>
      </c>
    </row>
    <row r="16" customFormat="false" ht="15" hidden="false" customHeight="false" outlineLevel="0" collapsed="false">
      <c r="A16" s="14" t="s">
        <v>365</v>
      </c>
      <c r="B16" s="14" t="s">
        <v>366</v>
      </c>
      <c r="C16" s="14" t="s">
        <v>317</v>
      </c>
      <c r="D16" s="38" t="n">
        <v>1.5</v>
      </c>
      <c r="E16" s="39" t="n">
        <v>0.9</v>
      </c>
      <c r="F16" s="14" t="s">
        <v>367</v>
      </c>
      <c r="G16" s="14" t="s">
        <v>368</v>
      </c>
      <c r="H16" s="14" t="s">
        <v>369</v>
      </c>
      <c r="I16" s="14" t="s">
        <v>370</v>
      </c>
      <c r="J16" s="14" t="s">
        <v>335</v>
      </c>
      <c r="K16" s="40" t="n">
        <v>0.7</v>
      </c>
      <c r="L16" s="29" t="n">
        <v>33</v>
      </c>
      <c r="M16" s="34" t="s">
        <v>371</v>
      </c>
    </row>
    <row r="17" customFormat="false" ht="15" hidden="false" customHeight="false" outlineLevel="0" collapsed="false">
      <c r="A17" s="12" t="s">
        <v>372</v>
      </c>
      <c r="B17" s="12" t="s">
        <v>373</v>
      </c>
      <c r="C17" s="12" t="s">
        <v>374</v>
      </c>
      <c r="D17" s="35" t="n">
        <v>1.1</v>
      </c>
      <c r="E17" s="36" t="n">
        <v>0.6</v>
      </c>
      <c r="F17" s="12" t="s">
        <v>375</v>
      </c>
      <c r="G17" s="12" t="s">
        <v>376</v>
      </c>
      <c r="H17" s="12" t="s">
        <v>377</v>
      </c>
      <c r="I17" s="12" t="s">
        <v>378</v>
      </c>
      <c r="J17" s="12" t="s">
        <v>335</v>
      </c>
      <c r="K17" s="37" t="n">
        <v>0.4</v>
      </c>
      <c r="L17" s="23" t="n">
        <v>42</v>
      </c>
      <c r="M17" s="28" t="s">
        <v>379</v>
      </c>
    </row>
    <row r="18" customFormat="false" ht="15" hidden="false" customHeight="false" outlineLevel="0" collapsed="false">
      <c r="A18" s="14" t="s">
        <v>380</v>
      </c>
      <c r="B18" s="14" t="s">
        <v>381</v>
      </c>
      <c r="C18" s="14" t="s">
        <v>317</v>
      </c>
      <c r="D18" s="38" t="n">
        <v>0.9</v>
      </c>
      <c r="E18" s="39" t="n">
        <v>0.5</v>
      </c>
      <c r="F18" s="14" t="s">
        <v>382</v>
      </c>
      <c r="G18" s="14" t="s">
        <v>383</v>
      </c>
      <c r="H18" s="14" t="s">
        <v>384</v>
      </c>
      <c r="I18" s="14" t="s">
        <v>385</v>
      </c>
      <c r="J18" s="14" t="s">
        <v>335</v>
      </c>
      <c r="K18" s="40" t="n">
        <v>0.5</v>
      </c>
      <c r="L18" s="29" t="n">
        <v>15</v>
      </c>
      <c r="M18" s="34" t="s">
        <v>386</v>
      </c>
    </row>
    <row r="19" customFormat="false" ht="15" hidden="false" customHeight="false" outlineLevel="0" collapsed="false">
      <c r="A19" s="12" t="s">
        <v>387</v>
      </c>
      <c r="B19" s="12" t="s">
        <v>388</v>
      </c>
      <c r="C19" s="12" t="s">
        <v>297</v>
      </c>
      <c r="D19" s="35" t="n">
        <v>1</v>
      </c>
      <c r="E19" s="36" t="n">
        <v>0.6</v>
      </c>
      <c r="F19" s="12" t="s">
        <v>389</v>
      </c>
      <c r="G19" s="12" t="s">
        <v>390</v>
      </c>
      <c r="H19" s="12" t="s">
        <v>391</v>
      </c>
      <c r="I19" s="12" t="s">
        <v>392</v>
      </c>
      <c r="J19" s="12" t="s">
        <v>335</v>
      </c>
      <c r="K19" s="37" t="n">
        <v>1.5</v>
      </c>
      <c r="L19" s="23" t="n">
        <v>17</v>
      </c>
      <c r="M19" s="28" t="s">
        <v>393</v>
      </c>
    </row>
    <row r="20" customFormat="false" ht="15" hidden="false" customHeight="false" outlineLevel="0" collapsed="false">
      <c r="A20" s="14" t="s">
        <v>394</v>
      </c>
      <c r="B20" s="14" t="s">
        <v>395</v>
      </c>
      <c r="C20" s="14" t="s">
        <v>396</v>
      </c>
      <c r="D20" s="38" t="n">
        <v>0.8</v>
      </c>
      <c r="E20" s="39" t="n">
        <v>0.5</v>
      </c>
      <c r="F20" s="14" t="s">
        <v>397</v>
      </c>
      <c r="G20" s="14" t="s">
        <v>398</v>
      </c>
      <c r="H20" s="14" t="s">
        <v>399</v>
      </c>
      <c r="I20" s="14" t="s">
        <v>400</v>
      </c>
      <c r="J20" s="14" t="s">
        <v>401</v>
      </c>
      <c r="K20" s="40" t="n">
        <v>0.2</v>
      </c>
      <c r="L20" s="29" t="n">
        <v>16</v>
      </c>
      <c r="M20" s="34" t="s">
        <v>402</v>
      </c>
    </row>
    <row r="21" customFormat="false" ht="15" hidden="false" customHeight="false" outlineLevel="0" collapsed="false">
      <c r="A21" s="12" t="s">
        <v>403</v>
      </c>
      <c r="B21" s="12" t="s">
        <v>404</v>
      </c>
      <c r="C21" s="12" t="s">
        <v>339</v>
      </c>
      <c r="D21" s="35" t="n">
        <v>0.3</v>
      </c>
      <c r="E21" s="36" t="n">
        <v>0.2</v>
      </c>
      <c r="F21" s="12" t="s">
        <v>405</v>
      </c>
      <c r="G21" s="12" t="s">
        <v>406</v>
      </c>
      <c r="H21" s="12" t="s">
        <v>407</v>
      </c>
      <c r="I21" s="12" t="s">
        <v>408</v>
      </c>
      <c r="J21" s="12" t="s">
        <v>401</v>
      </c>
      <c r="K21" s="37" t="n">
        <v>0.1</v>
      </c>
      <c r="L21" s="23" t="n">
        <v>52</v>
      </c>
      <c r="M21" s="28" t="s">
        <v>409</v>
      </c>
    </row>
    <row r="22" customFormat="false" ht="15" hidden="false" customHeight="false" outlineLevel="0" collapsed="false">
      <c r="A22" s="14" t="s">
        <v>410</v>
      </c>
      <c r="B22" s="14" t="s">
        <v>411</v>
      </c>
      <c r="C22" s="14" t="s">
        <v>374</v>
      </c>
      <c r="D22" s="38" t="n">
        <v>0.4</v>
      </c>
      <c r="E22" s="39" t="n">
        <v>0.2</v>
      </c>
      <c r="F22" s="14" t="s">
        <v>412</v>
      </c>
      <c r="G22" s="14" t="s">
        <v>413</v>
      </c>
      <c r="H22" s="14" t="s">
        <v>414</v>
      </c>
      <c r="I22" s="14" t="s">
        <v>415</v>
      </c>
      <c r="J22" s="14" t="s">
        <v>401</v>
      </c>
      <c r="K22" s="40" t="n">
        <v>0.1</v>
      </c>
      <c r="L22" s="29" t="n">
        <v>14</v>
      </c>
      <c r="M22" s="34" t="s">
        <v>416</v>
      </c>
    </row>
    <row r="23" customFormat="false" ht="15" hidden="false" customHeight="false" outlineLevel="0" collapsed="false">
      <c r="A23" s="12" t="s">
        <v>417</v>
      </c>
      <c r="B23" s="12" t="s">
        <v>418</v>
      </c>
      <c r="C23" s="12" t="s">
        <v>339</v>
      </c>
      <c r="D23" s="35" t="n">
        <v>0.3</v>
      </c>
      <c r="E23" s="36" t="n">
        <v>0.2</v>
      </c>
      <c r="F23" s="12" t="s">
        <v>419</v>
      </c>
      <c r="G23" s="12" t="s">
        <v>420</v>
      </c>
      <c r="H23" s="12" t="s">
        <v>421</v>
      </c>
      <c r="I23" s="12" t="s">
        <v>422</v>
      </c>
      <c r="J23" s="12" t="s">
        <v>401</v>
      </c>
      <c r="K23" s="37" t="n">
        <v>0.1</v>
      </c>
      <c r="L23" s="23" t="n">
        <v>14</v>
      </c>
      <c r="M23" s="28" t="s">
        <v>423</v>
      </c>
    </row>
    <row r="24" customFormat="false" ht="15" hidden="false" customHeight="false" outlineLevel="0" collapsed="false">
      <c r="A24" s="14" t="s">
        <v>424</v>
      </c>
      <c r="B24" s="14" t="s">
        <v>425</v>
      </c>
      <c r="C24" s="14" t="s">
        <v>317</v>
      </c>
      <c r="D24" s="38" t="n">
        <v>0.7</v>
      </c>
      <c r="E24" s="39" t="n">
        <v>0.4</v>
      </c>
      <c r="F24" s="14" t="s">
        <v>426</v>
      </c>
      <c r="G24" s="14" t="s">
        <v>427</v>
      </c>
      <c r="H24" s="14" t="s">
        <v>428</v>
      </c>
      <c r="I24" s="14" t="s">
        <v>429</v>
      </c>
      <c r="J24" s="14" t="s">
        <v>401</v>
      </c>
      <c r="K24" s="40" t="n">
        <v>0.2</v>
      </c>
      <c r="L24" s="29" t="n">
        <v>5</v>
      </c>
      <c r="M24" s="34" t="s">
        <v>430</v>
      </c>
    </row>
    <row r="25" customFormat="false" ht="15" hidden="false" customHeight="false" outlineLevel="0" collapsed="false">
      <c r="A25" s="12" t="s">
        <v>431</v>
      </c>
      <c r="B25" s="12" t="s">
        <v>432</v>
      </c>
      <c r="C25" s="12" t="s">
        <v>317</v>
      </c>
      <c r="D25" s="35" t="n">
        <v>0.2</v>
      </c>
      <c r="E25" s="36" t="n">
        <v>0.1</v>
      </c>
      <c r="F25" s="12" t="s">
        <v>433</v>
      </c>
      <c r="G25" s="12" t="s">
        <v>434</v>
      </c>
      <c r="H25" s="12" t="s">
        <v>435</v>
      </c>
      <c r="I25" s="12" t="s">
        <v>436</v>
      </c>
      <c r="J25" s="12" t="s">
        <v>335</v>
      </c>
      <c r="K25" s="37" t="n">
        <v>0.3</v>
      </c>
      <c r="L25" s="23" t="n">
        <v>1.2</v>
      </c>
      <c r="M25" s="28" t="s">
        <v>437</v>
      </c>
    </row>
    <row r="26" customFormat="false" ht="15" hidden="false" customHeight="false" outlineLevel="0" collapsed="false">
      <c r="A26" s="14" t="s">
        <v>438</v>
      </c>
      <c r="B26" s="14" t="s">
        <v>439</v>
      </c>
      <c r="C26" s="14" t="s">
        <v>289</v>
      </c>
      <c r="D26" s="38" t="n">
        <v>0.2</v>
      </c>
      <c r="E26" s="39" t="n">
        <v>0.1</v>
      </c>
      <c r="F26" s="14" t="s">
        <v>440</v>
      </c>
      <c r="G26" s="14" t="s">
        <v>441</v>
      </c>
      <c r="H26" s="14" t="s">
        <v>442</v>
      </c>
      <c r="I26" s="14" t="s">
        <v>443</v>
      </c>
      <c r="J26" s="14" t="s">
        <v>401</v>
      </c>
      <c r="K26" s="40" t="n">
        <v>0.1</v>
      </c>
      <c r="L26" s="29" t="n">
        <v>0.8</v>
      </c>
      <c r="M26" s="34" t="s">
        <v>444</v>
      </c>
    </row>
    <row r="27" customFormat="false" ht="15" hidden="false" customHeight="false" outlineLevel="0" collapsed="false">
      <c r="A27" s="12" t="s">
        <v>445</v>
      </c>
      <c r="B27" s="12" t="s">
        <v>446</v>
      </c>
      <c r="C27" s="12" t="s">
        <v>317</v>
      </c>
      <c r="D27" s="35" t="n">
        <v>0.1</v>
      </c>
      <c r="E27" s="36" t="n">
        <v>0.05</v>
      </c>
      <c r="F27" s="12" t="s">
        <v>447</v>
      </c>
      <c r="G27" s="12" t="s">
        <v>448</v>
      </c>
      <c r="H27" s="12" t="s">
        <v>449</v>
      </c>
      <c r="I27" s="12" t="s">
        <v>450</v>
      </c>
      <c r="J27" s="12" t="s">
        <v>401</v>
      </c>
      <c r="K27" s="37" t="n">
        <v>0</v>
      </c>
      <c r="L27" s="23" t="n">
        <v>5.5</v>
      </c>
      <c r="M27" s="28" t="s">
        <v>451</v>
      </c>
    </row>
    <row r="28" customFormat="false" ht="15" hidden="false" customHeight="false" outlineLevel="0" collapsed="false">
      <c r="A28" s="14" t="s">
        <v>452</v>
      </c>
      <c r="B28" s="14" t="s">
        <v>453</v>
      </c>
      <c r="C28" s="14" t="s">
        <v>317</v>
      </c>
      <c r="D28" s="38" t="n">
        <v>0.2</v>
      </c>
      <c r="E28" s="39" t="n">
        <v>0.1</v>
      </c>
      <c r="F28" s="14" t="s">
        <v>454</v>
      </c>
      <c r="G28" s="14" t="s">
        <v>455</v>
      </c>
      <c r="H28" s="14" t="s">
        <v>456</v>
      </c>
      <c r="I28" s="14" t="s">
        <v>457</v>
      </c>
      <c r="J28" s="14" t="s">
        <v>401</v>
      </c>
      <c r="K28" s="40" t="n">
        <v>0.1</v>
      </c>
      <c r="L28" s="29" t="n">
        <v>3.7</v>
      </c>
      <c r="M28" s="34" t="s">
        <v>458</v>
      </c>
    </row>
    <row r="29" customFormat="false" ht="15" hidden="false" customHeight="false" outlineLevel="0" collapsed="false">
      <c r="A29" s="12" t="s">
        <v>459</v>
      </c>
      <c r="B29" s="12" t="s">
        <v>460</v>
      </c>
      <c r="C29" s="12" t="s">
        <v>396</v>
      </c>
      <c r="D29" s="35" t="n">
        <v>0.05</v>
      </c>
      <c r="E29" s="36" t="n">
        <v>0.02</v>
      </c>
      <c r="F29" s="12" t="s">
        <v>461</v>
      </c>
      <c r="G29" s="12" t="s">
        <v>434</v>
      </c>
      <c r="H29" s="12" t="s">
        <v>462</v>
      </c>
      <c r="I29" s="12" t="s">
        <v>463</v>
      </c>
      <c r="J29" s="12" t="s">
        <v>401</v>
      </c>
      <c r="K29" s="37" t="n">
        <v>0</v>
      </c>
      <c r="L29" s="23" t="n">
        <v>1.7</v>
      </c>
      <c r="M29" s="28" t="s">
        <v>464</v>
      </c>
    </row>
    <row r="30" customFormat="false" ht="15" hidden="false" customHeight="false" outlineLevel="0" collapsed="false">
      <c r="A30" s="14" t="s">
        <v>465</v>
      </c>
      <c r="B30" s="14" t="s">
        <v>466</v>
      </c>
      <c r="C30" s="14" t="s">
        <v>396</v>
      </c>
      <c r="D30" s="38" t="n">
        <v>0.03</v>
      </c>
      <c r="E30" s="39" t="n">
        <v>0.01</v>
      </c>
      <c r="F30" s="14" t="s">
        <v>467</v>
      </c>
      <c r="G30" s="14" t="s">
        <v>434</v>
      </c>
      <c r="H30" s="14" t="s">
        <v>468</v>
      </c>
      <c r="I30" s="14" t="s">
        <v>463</v>
      </c>
      <c r="J30" s="14" t="s">
        <v>401</v>
      </c>
      <c r="K30" s="40" t="n">
        <v>0</v>
      </c>
      <c r="L30" s="29" t="n">
        <v>1.3</v>
      </c>
      <c r="M30" s="34" t="s">
        <v>464</v>
      </c>
    </row>
    <row r="31" customFormat="false" ht="15" hidden="false" customHeight="false" outlineLevel="0" collapsed="false">
      <c r="A31" s="12" t="s">
        <v>469</v>
      </c>
      <c r="B31" s="12" t="s">
        <v>470</v>
      </c>
      <c r="C31" s="12" t="s">
        <v>396</v>
      </c>
      <c r="D31" s="35" t="n">
        <v>0.03</v>
      </c>
      <c r="E31" s="36" t="n">
        <v>0.01</v>
      </c>
      <c r="F31" s="12" t="s">
        <v>471</v>
      </c>
      <c r="G31" s="12" t="s">
        <v>434</v>
      </c>
      <c r="H31" s="12" t="s">
        <v>472</v>
      </c>
      <c r="I31" s="12" t="s">
        <v>463</v>
      </c>
      <c r="J31" s="12" t="s">
        <v>401</v>
      </c>
      <c r="K31" s="37" t="n">
        <v>0</v>
      </c>
      <c r="L31" s="23" t="n">
        <v>1.4</v>
      </c>
      <c r="M31" s="28" t="s">
        <v>464</v>
      </c>
    </row>
    <row r="32" customFormat="false" ht="15" hidden="false" customHeight="false" outlineLevel="0" collapsed="false">
      <c r="A32" s="14" t="s">
        <v>473</v>
      </c>
      <c r="B32" s="14" t="s">
        <v>474</v>
      </c>
      <c r="C32" s="14" t="s">
        <v>396</v>
      </c>
      <c r="D32" s="38" t="n">
        <v>0.02</v>
      </c>
      <c r="E32" s="39" t="n">
        <v>0.01</v>
      </c>
      <c r="F32" s="14" t="s">
        <v>475</v>
      </c>
      <c r="G32" s="14" t="s">
        <v>434</v>
      </c>
      <c r="H32" s="14" t="s">
        <v>476</v>
      </c>
      <c r="I32" s="14" t="s">
        <v>463</v>
      </c>
      <c r="J32" s="14" t="s">
        <v>401</v>
      </c>
      <c r="K32" s="40" t="n">
        <v>0</v>
      </c>
      <c r="L32" s="29" t="n">
        <v>0.9</v>
      </c>
      <c r="M32" s="34" t="s">
        <v>464</v>
      </c>
    </row>
    <row r="33" customFormat="false" ht="15" hidden="false" customHeight="false" outlineLevel="0" collapsed="false">
      <c r="A33" s="12" t="s">
        <v>477</v>
      </c>
      <c r="B33" s="12" t="s">
        <v>478</v>
      </c>
      <c r="C33" s="12" t="s">
        <v>396</v>
      </c>
      <c r="D33" s="35" t="n">
        <v>0.05</v>
      </c>
      <c r="E33" s="36" t="n">
        <v>0.02</v>
      </c>
      <c r="F33" s="12" t="s">
        <v>479</v>
      </c>
      <c r="G33" s="12" t="s">
        <v>434</v>
      </c>
      <c r="H33" s="12" t="s">
        <v>480</v>
      </c>
      <c r="I33" s="12" t="s">
        <v>481</v>
      </c>
      <c r="J33" s="12" t="s">
        <v>401</v>
      </c>
      <c r="K33" s="37" t="n">
        <v>0</v>
      </c>
      <c r="L33" s="23" t="n">
        <v>0.3</v>
      </c>
      <c r="M33" s="28" t="s">
        <v>458</v>
      </c>
    </row>
    <row r="34" customFormat="false" ht="15" hidden="false" customHeight="false" outlineLevel="0" collapsed="false">
      <c r="A34" s="14" t="s">
        <v>482</v>
      </c>
      <c r="B34" s="14" t="s">
        <v>483</v>
      </c>
      <c r="C34" s="14" t="s">
        <v>297</v>
      </c>
      <c r="D34" s="38" t="n">
        <v>0.1</v>
      </c>
      <c r="E34" s="39" t="n">
        <v>0.04</v>
      </c>
      <c r="F34" s="14" t="s">
        <v>483</v>
      </c>
      <c r="G34" s="14" t="s">
        <v>434</v>
      </c>
      <c r="H34" s="14" t="s">
        <v>484</v>
      </c>
      <c r="I34" s="14" t="s">
        <v>485</v>
      </c>
      <c r="J34" s="14" t="s">
        <v>401</v>
      </c>
      <c r="K34" s="40" t="n">
        <v>0</v>
      </c>
      <c r="L34" s="29" t="n">
        <v>0.6</v>
      </c>
      <c r="M34" s="34" t="s">
        <v>430</v>
      </c>
    </row>
    <row r="35" customFormat="false" ht="15" hidden="false" customHeight="false" outlineLevel="0" collapsed="false">
      <c r="A35" s="12" t="s">
        <v>486</v>
      </c>
      <c r="B35" s="12" t="s">
        <v>487</v>
      </c>
      <c r="C35" s="12" t="s">
        <v>434</v>
      </c>
      <c r="D35" s="35" t="n">
        <v>2.96</v>
      </c>
      <c r="E35" s="36" t="n">
        <v>1.7</v>
      </c>
      <c r="F35" s="12" t="s">
        <v>434</v>
      </c>
      <c r="G35" s="12" t="s">
        <v>434</v>
      </c>
      <c r="H35" s="12" t="s">
        <v>488</v>
      </c>
      <c r="I35" s="12" t="s">
        <v>434</v>
      </c>
      <c r="J35" s="12" t="s">
        <v>401</v>
      </c>
      <c r="K35" s="37" t="n">
        <v>0</v>
      </c>
      <c r="L35" s="23" t="n">
        <v>30</v>
      </c>
      <c r="M35" s="28" t="s">
        <v>489</v>
      </c>
    </row>
    <row r="37" customFormat="false" ht="27.75" hidden="false" customHeight="true" outlineLevel="0" collapsed="false">
      <c r="B37" s="22" t="s">
        <v>490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</row>
  </sheetData>
  <mergeCells count="3">
    <mergeCell ref="A1:M1"/>
    <mergeCell ref="A2:M2"/>
    <mergeCell ref="B37:M37"/>
  </mergeCells>
  <conditionalFormatting sqref="D5:D35">
    <cfRule type="colorScale" priority="2">
      <colorScale>
        <cfvo type="min" val="0"/>
        <cfvo type="max" val="0"/>
        <color rgb="FFFFFFFF"/>
        <color rgb="FF0F7173"/>
      </colorScale>
    </cfRule>
  </conditionalFormatting>
  <conditionalFormatting sqref="K5:K35">
    <cfRule type="dataBar" priority="3">
      <dataBar showValue="1" minLength="10" maxLength="90">
        <cfvo type="min" val="0"/>
        <cfvo type="max" val="35"/>
        <color rgb="FFFF8B3D"/>
      </dataBar>
      <extLst>
        <ext xmlns:x14="http://schemas.microsoft.com/office/spreadsheetml/2009/9/main" uri="{B025F937-C7B1-47D3-B67F-A62EFF666E3E}">
          <x14:id>{88BB69D6-D94C-4FEE-99B2-F078B439A8B0}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BB69D6-D94C-4FEE-99B2-F078B439A8B0}">
            <x14:dataBar minLength="10" maxLength="90" axisPosition="none" gradient="true">
              <x14:cfvo type="min"/>
              <x14:cfvo type="max"/>
              <x14:negativeFillColor rgb="FFFF8B3D"/>
              <x14:axisColor rgb="FF000000"/>
            </x14:dataBar>
          </x14:cfRule>
          <xm:sqref>K5:K35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5" min="4" style="0" width="16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10" min="8" style="0" width="11"/>
    <col collapsed="false" customWidth="true" hidden="false" outlineLevel="0" max="11" min="11" style="0" width="20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42"/>
  </cols>
  <sheetData>
    <row r="1" customFormat="false" ht="25.5" hidden="false" customHeight="true" outlineLevel="0" collapsed="false">
      <c r="A1" s="1" t="s">
        <v>491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492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42" hidden="false" customHeight="true" outlineLevel="0" collapsed="false">
      <c r="A4" s="11" t="s">
        <v>493</v>
      </c>
      <c r="B4" s="11" t="s">
        <v>494</v>
      </c>
      <c r="C4" s="11" t="s">
        <v>495</v>
      </c>
      <c r="D4" s="11" t="s">
        <v>78</v>
      </c>
      <c r="E4" s="11" t="s">
        <v>496</v>
      </c>
      <c r="F4" s="11" t="s">
        <v>497</v>
      </c>
      <c r="G4" s="11" t="s">
        <v>498</v>
      </c>
      <c r="H4" s="11" t="s">
        <v>499</v>
      </c>
      <c r="I4" s="11" t="s">
        <v>500</v>
      </c>
      <c r="J4" s="11" t="s">
        <v>501</v>
      </c>
      <c r="K4" s="11" t="s">
        <v>502</v>
      </c>
      <c r="L4" s="11" t="s">
        <v>503</v>
      </c>
      <c r="M4" s="11" t="s">
        <v>504</v>
      </c>
      <c r="N4" s="11" t="s">
        <v>505</v>
      </c>
    </row>
    <row r="5" customFormat="false" ht="20.85" hidden="false" customHeight="false" outlineLevel="0" collapsed="false">
      <c r="A5" s="12" t="s">
        <v>506</v>
      </c>
      <c r="B5" s="12" t="s">
        <v>507</v>
      </c>
      <c r="C5" s="12" t="s">
        <v>508</v>
      </c>
      <c r="D5" s="12" t="s">
        <v>81</v>
      </c>
      <c r="E5" s="12" t="s">
        <v>509</v>
      </c>
      <c r="F5" s="12" t="s">
        <v>510</v>
      </c>
      <c r="G5" s="23" t="n">
        <v>91000</v>
      </c>
      <c r="H5" s="25" t="n">
        <v>8000</v>
      </c>
      <c r="I5" s="41" t="n">
        <f aca="false">H5*0.8</f>
        <v>6400</v>
      </c>
      <c r="J5" s="42" t="n">
        <f aca="false">H5+I5</f>
        <v>14400</v>
      </c>
      <c r="K5" s="12" t="s">
        <v>511</v>
      </c>
      <c r="L5" s="12" t="s">
        <v>512</v>
      </c>
      <c r="M5" s="43" t="s">
        <v>513</v>
      </c>
      <c r="N5" s="28" t="s">
        <v>514</v>
      </c>
    </row>
    <row r="6" customFormat="false" ht="15" hidden="false" customHeight="false" outlineLevel="0" collapsed="false">
      <c r="A6" s="14" t="s">
        <v>515</v>
      </c>
      <c r="B6" s="14" t="s">
        <v>516</v>
      </c>
      <c r="C6" s="14" t="s">
        <v>508</v>
      </c>
      <c r="D6" s="14" t="s">
        <v>81</v>
      </c>
      <c r="E6" s="14" t="s">
        <v>517</v>
      </c>
      <c r="F6" s="14" t="s">
        <v>518</v>
      </c>
      <c r="G6" s="29" t="n">
        <v>22500</v>
      </c>
      <c r="H6" s="31" t="n">
        <v>5000</v>
      </c>
      <c r="I6" s="44" t="n">
        <f aca="false">H6*0.8</f>
        <v>4000</v>
      </c>
      <c r="J6" s="45" t="n">
        <f aca="false">H6+I6</f>
        <v>9000</v>
      </c>
      <c r="K6" s="14" t="s">
        <v>519</v>
      </c>
      <c r="L6" s="14" t="s">
        <v>520</v>
      </c>
      <c r="M6" s="43" t="s">
        <v>513</v>
      </c>
      <c r="N6" s="34" t="s">
        <v>521</v>
      </c>
    </row>
    <row r="7" customFormat="false" ht="15" hidden="false" customHeight="false" outlineLevel="0" collapsed="false">
      <c r="A7" s="12" t="s">
        <v>522</v>
      </c>
      <c r="B7" s="12" t="s">
        <v>523</v>
      </c>
      <c r="C7" s="12" t="s">
        <v>508</v>
      </c>
      <c r="D7" s="12" t="s">
        <v>81</v>
      </c>
      <c r="E7" s="12" t="s">
        <v>509</v>
      </c>
      <c r="F7" s="12" t="s">
        <v>524</v>
      </c>
      <c r="G7" s="23" t="n">
        <v>2800</v>
      </c>
      <c r="H7" s="25" t="n">
        <v>1400</v>
      </c>
      <c r="I7" s="41" t="n">
        <f aca="false">H7*0.8</f>
        <v>1120</v>
      </c>
      <c r="J7" s="42" t="n">
        <f aca="false">H7+I7</f>
        <v>2520</v>
      </c>
      <c r="K7" s="12" t="s">
        <v>525</v>
      </c>
      <c r="L7" s="12" t="s">
        <v>526</v>
      </c>
      <c r="M7" s="46" t="s">
        <v>527</v>
      </c>
      <c r="N7" s="28" t="s">
        <v>528</v>
      </c>
    </row>
    <row r="8" customFormat="false" ht="15" hidden="false" customHeight="false" outlineLevel="0" collapsed="false">
      <c r="A8" s="14" t="s">
        <v>529</v>
      </c>
      <c r="B8" s="14" t="s">
        <v>530</v>
      </c>
      <c r="C8" s="14" t="s">
        <v>508</v>
      </c>
      <c r="D8" s="14" t="s">
        <v>81</v>
      </c>
      <c r="E8" s="14" t="s">
        <v>531</v>
      </c>
      <c r="F8" s="14" t="s">
        <v>524</v>
      </c>
      <c r="G8" s="29" t="n">
        <v>1136</v>
      </c>
      <c r="H8" s="31" t="n">
        <v>830</v>
      </c>
      <c r="I8" s="44" t="n">
        <f aca="false">H8*0.8</f>
        <v>664</v>
      </c>
      <c r="J8" s="45" t="n">
        <f aca="false">H8+I8</f>
        <v>1494</v>
      </c>
      <c r="K8" s="14" t="s">
        <v>525</v>
      </c>
      <c r="L8" s="14" t="s">
        <v>526</v>
      </c>
      <c r="M8" s="46" t="s">
        <v>527</v>
      </c>
      <c r="N8" s="34" t="s">
        <v>532</v>
      </c>
    </row>
    <row r="9" customFormat="false" ht="15" hidden="false" customHeight="false" outlineLevel="0" collapsed="false">
      <c r="A9" s="12" t="s">
        <v>533</v>
      </c>
      <c r="B9" s="12" t="s">
        <v>534</v>
      </c>
      <c r="C9" s="12" t="s">
        <v>508</v>
      </c>
      <c r="D9" s="12" t="s">
        <v>331</v>
      </c>
      <c r="E9" s="12" t="s">
        <v>535</v>
      </c>
      <c r="F9" s="12" t="s">
        <v>536</v>
      </c>
      <c r="G9" s="23" t="n">
        <v>3700</v>
      </c>
      <c r="H9" s="25" t="n">
        <v>2000</v>
      </c>
      <c r="I9" s="41" t="n">
        <f aca="false">H9*0.8</f>
        <v>1600</v>
      </c>
      <c r="J9" s="42" t="n">
        <f aca="false">H9+I9</f>
        <v>3600</v>
      </c>
      <c r="K9" s="12" t="s">
        <v>511</v>
      </c>
      <c r="L9" s="12" t="s">
        <v>537</v>
      </c>
      <c r="M9" s="46" t="s">
        <v>527</v>
      </c>
      <c r="N9" s="28" t="s">
        <v>538</v>
      </c>
    </row>
    <row r="10" customFormat="false" ht="15" hidden="false" customHeight="false" outlineLevel="0" collapsed="false">
      <c r="A10" s="14" t="s">
        <v>539</v>
      </c>
      <c r="B10" s="14" t="s">
        <v>540</v>
      </c>
      <c r="C10" s="14" t="s">
        <v>508</v>
      </c>
      <c r="D10" s="14" t="s">
        <v>81</v>
      </c>
      <c r="E10" s="14" t="s">
        <v>517</v>
      </c>
      <c r="F10" s="14" t="s">
        <v>541</v>
      </c>
      <c r="G10" s="29" t="n">
        <v>3300</v>
      </c>
      <c r="H10" s="31" t="n">
        <v>1500</v>
      </c>
      <c r="I10" s="44" t="n">
        <f aca="false">H10*0.8</f>
        <v>1200</v>
      </c>
      <c r="J10" s="45" t="n">
        <f aca="false">H10+I10</f>
        <v>2700</v>
      </c>
      <c r="K10" s="14" t="s">
        <v>511</v>
      </c>
      <c r="L10" s="14" t="s">
        <v>542</v>
      </c>
      <c r="M10" s="43" t="s">
        <v>513</v>
      </c>
      <c r="N10" s="34" t="s">
        <v>543</v>
      </c>
    </row>
    <row r="11" customFormat="false" ht="15" hidden="false" customHeight="false" outlineLevel="0" collapsed="false">
      <c r="A11" s="12" t="s">
        <v>544</v>
      </c>
      <c r="B11" s="12" t="s">
        <v>545</v>
      </c>
      <c r="C11" s="12" t="s">
        <v>508</v>
      </c>
      <c r="D11" s="12" t="s">
        <v>81</v>
      </c>
      <c r="E11" s="12" t="s">
        <v>517</v>
      </c>
      <c r="F11" s="12" t="s">
        <v>546</v>
      </c>
      <c r="G11" s="23" t="n">
        <v>7600</v>
      </c>
      <c r="H11" s="25" t="n">
        <v>1800</v>
      </c>
      <c r="I11" s="41" t="n">
        <f aca="false">H11*0.8</f>
        <v>1440</v>
      </c>
      <c r="J11" s="42" t="n">
        <f aca="false">H11+I11</f>
        <v>3240</v>
      </c>
      <c r="K11" s="12" t="s">
        <v>547</v>
      </c>
      <c r="L11" s="12" t="s">
        <v>520</v>
      </c>
      <c r="M11" s="43" t="s">
        <v>513</v>
      </c>
      <c r="N11" s="28" t="s">
        <v>543</v>
      </c>
    </row>
    <row r="12" customFormat="false" ht="15" hidden="false" customHeight="false" outlineLevel="0" collapsed="false">
      <c r="A12" s="14" t="s">
        <v>548</v>
      </c>
      <c r="B12" s="14" t="s">
        <v>549</v>
      </c>
      <c r="C12" s="14" t="s">
        <v>508</v>
      </c>
      <c r="D12" s="14" t="s">
        <v>338</v>
      </c>
      <c r="E12" s="14" t="s">
        <v>550</v>
      </c>
      <c r="F12" s="14" t="s">
        <v>551</v>
      </c>
      <c r="G12" s="29" t="n">
        <v>618</v>
      </c>
      <c r="H12" s="31" t="n">
        <v>450</v>
      </c>
      <c r="I12" s="44" t="n">
        <f aca="false">H12*0.8</f>
        <v>360</v>
      </c>
      <c r="J12" s="45" t="n">
        <f aca="false">H12+I12</f>
        <v>810</v>
      </c>
      <c r="K12" s="14" t="s">
        <v>525</v>
      </c>
      <c r="L12" s="14" t="s">
        <v>552</v>
      </c>
      <c r="M12" s="46" t="s">
        <v>527</v>
      </c>
      <c r="N12" s="34" t="s">
        <v>336</v>
      </c>
    </row>
    <row r="13" customFormat="false" ht="15" hidden="false" customHeight="false" outlineLevel="0" collapsed="false">
      <c r="A13" s="12" t="s">
        <v>553</v>
      </c>
      <c r="B13" s="12" t="s">
        <v>554</v>
      </c>
      <c r="C13" s="12" t="s">
        <v>555</v>
      </c>
      <c r="D13" s="12" t="s">
        <v>84</v>
      </c>
      <c r="E13" s="12" t="s">
        <v>556</v>
      </c>
      <c r="F13" s="12" t="s">
        <v>557</v>
      </c>
      <c r="G13" s="23" t="n">
        <v>4600</v>
      </c>
      <c r="H13" s="25" t="n">
        <v>3200</v>
      </c>
      <c r="I13" s="41" t="n">
        <f aca="false">H13*0.8</f>
        <v>2560</v>
      </c>
      <c r="J13" s="42" t="n">
        <f aca="false">H13+I13</f>
        <v>5760</v>
      </c>
      <c r="K13" s="12" t="s">
        <v>525</v>
      </c>
      <c r="L13" s="12" t="s">
        <v>558</v>
      </c>
      <c r="M13" s="43" t="s">
        <v>513</v>
      </c>
      <c r="N13" s="28" t="s">
        <v>559</v>
      </c>
    </row>
    <row r="14" customFormat="false" ht="15" hidden="false" customHeight="false" outlineLevel="0" collapsed="false">
      <c r="A14" s="14" t="s">
        <v>560</v>
      </c>
      <c r="B14" s="14" t="s">
        <v>561</v>
      </c>
      <c r="C14" s="14" t="s">
        <v>562</v>
      </c>
      <c r="D14" s="14" t="s">
        <v>84</v>
      </c>
      <c r="E14" s="14" t="s">
        <v>563</v>
      </c>
      <c r="F14" s="14" t="s">
        <v>557</v>
      </c>
      <c r="G14" s="29" t="n">
        <v>1500</v>
      </c>
      <c r="H14" s="31" t="n">
        <v>1100</v>
      </c>
      <c r="I14" s="44" t="n">
        <f aca="false">H14*0.8</f>
        <v>880</v>
      </c>
      <c r="J14" s="45" t="n">
        <f aca="false">H14+I14</f>
        <v>1980</v>
      </c>
      <c r="K14" s="14" t="s">
        <v>525</v>
      </c>
      <c r="L14" s="14" t="s">
        <v>558</v>
      </c>
      <c r="M14" s="46" t="s">
        <v>527</v>
      </c>
      <c r="N14" s="34" t="s">
        <v>559</v>
      </c>
    </row>
    <row r="15" customFormat="false" ht="15" hidden="false" customHeight="false" outlineLevel="0" collapsed="false">
      <c r="A15" s="12" t="s">
        <v>564</v>
      </c>
      <c r="B15" s="12" t="s">
        <v>565</v>
      </c>
      <c r="C15" s="12" t="s">
        <v>555</v>
      </c>
      <c r="D15" s="12" t="s">
        <v>84</v>
      </c>
      <c r="E15" s="12" t="s">
        <v>566</v>
      </c>
      <c r="F15" s="12" t="s">
        <v>567</v>
      </c>
      <c r="G15" s="23" t="n">
        <v>7102</v>
      </c>
      <c r="H15" s="25" t="n">
        <v>900</v>
      </c>
      <c r="I15" s="41" t="n">
        <f aca="false">H15*0.8</f>
        <v>720</v>
      </c>
      <c r="J15" s="42" t="n">
        <f aca="false">H15+I15</f>
        <v>1620</v>
      </c>
      <c r="K15" s="12" t="s">
        <v>525</v>
      </c>
      <c r="L15" s="12" t="s">
        <v>552</v>
      </c>
      <c r="M15" s="46" t="s">
        <v>527</v>
      </c>
      <c r="N15" s="28" t="s">
        <v>568</v>
      </c>
    </row>
    <row r="16" customFormat="false" ht="15" hidden="false" customHeight="false" outlineLevel="0" collapsed="false">
      <c r="A16" s="14" t="s">
        <v>569</v>
      </c>
      <c r="B16" s="14" t="s">
        <v>570</v>
      </c>
      <c r="C16" s="14" t="s">
        <v>571</v>
      </c>
      <c r="D16" s="14" t="s">
        <v>84</v>
      </c>
      <c r="E16" s="14" t="s">
        <v>434</v>
      </c>
      <c r="F16" s="14" t="s">
        <v>567</v>
      </c>
      <c r="G16" s="29" t="n">
        <v>9298</v>
      </c>
      <c r="H16" s="31" t="n">
        <v>806</v>
      </c>
      <c r="I16" s="44" t="n">
        <f aca="false">H16*0.8</f>
        <v>644.8</v>
      </c>
      <c r="J16" s="45" t="n">
        <f aca="false">H16+I16</f>
        <v>1450.8</v>
      </c>
      <c r="K16" s="14" t="s">
        <v>525</v>
      </c>
      <c r="L16" s="14" t="s">
        <v>552</v>
      </c>
      <c r="M16" s="47" t="s">
        <v>572</v>
      </c>
      <c r="N16" s="34" t="s">
        <v>568</v>
      </c>
    </row>
    <row r="17" customFormat="false" ht="15" hidden="false" customHeight="false" outlineLevel="0" collapsed="false">
      <c r="A17" s="12" t="s">
        <v>573</v>
      </c>
      <c r="B17" s="12" t="s">
        <v>574</v>
      </c>
      <c r="C17" s="12" t="s">
        <v>575</v>
      </c>
      <c r="D17" s="12" t="s">
        <v>84</v>
      </c>
      <c r="E17" s="12" t="s">
        <v>434</v>
      </c>
      <c r="F17" s="12" t="s">
        <v>567</v>
      </c>
      <c r="G17" s="23" t="n">
        <v>1251</v>
      </c>
      <c r="H17" s="25" t="n">
        <v>1912</v>
      </c>
      <c r="I17" s="41" t="n">
        <f aca="false">H17*0.8</f>
        <v>1529.6</v>
      </c>
      <c r="J17" s="42" t="n">
        <f aca="false">H17+I17</f>
        <v>3441.6</v>
      </c>
      <c r="K17" s="12" t="s">
        <v>525</v>
      </c>
      <c r="L17" s="12" t="s">
        <v>576</v>
      </c>
      <c r="M17" s="46" t="s">
        <v>527</v>
      </c>
      <c r="N17" s="28" t="s">
        <v>568</v>
      </c>
    </row>
    <row r="18" customFormat="false" ht="15" hidden="false" customHeight="false" outlineLevel="0" collapsed="false">
      <c r="A18" s="14" t="s">
        <v>577</v>
      </c>
      <c r="B18" s="14" t="s">
        <v>578</v>
      </c>
      <c r="C18" s="14" t="s">
        <v>579</v>
      </c>
      <c r="D18" s="14" t="s">
        <v>84</v>
      </c>
      <c r="E18" s="14" t="s">
        <v>298</v>
      </c>
      <c r="F18" s="14" t="s">
        <v>567</v>
      </c>
      <c r="G18" s="29" t="n">
        <v>542</v>
      </c>
      <c r="H18" s="31" t="n">
        <v>1312</v>
      </c>
      <c r="I18" s="44" t="n">
        <f aca="false">H18*0.8</f>
        <v>1049.6</v>
      </c>
      <c r="J18" s="45" t="n">
        <f aca="false">H18+I18</f>
        <v>2361.6</v>
      </c>
      <c r="K18" s="14" t="s">
        <v>525</v>
      </c>
      <c r="L18" s="14" t="s">
        <v>580</v>
      </c>
      <c r="M18" s="43" t="s">
        <v>513</v>
      </c>
      <c r="N18" s="34" t="s">
        <v>568</v>
      </c>
    </row>
    <row r="19" customFormat="false" ht="15" hidden="false" customHeight="false" outlineLevel="0" collapsed="false">
      <c r="A19" s="12" t="s">
        <v>581</v>
      </c>
      <c r="B19" s="12" t="s">
        <v>582</v>
      </c>
      <c r="C19" s="12" t="s">
        <v>583</v>
      </c>
      <c r="D19" s="12" t="s">
        <v>84</v>
      </c>
      <c r="E19" s="12" t="s">
        <v>434</v>
      </c>
      <c r="F19" s="12" t="s">
        <v>567</v>
      </c>
      <c r="G19" s="23" t="n">
        <v>1622</v>
      </c>
      <c r="H19" s="25" t="n">
        <v>1200</v>
      </c>
      <c r="I19" s="41" t="n">
        <f aca="false">H19*0.8</f>
        <v>960</v>
      </c>
      <c r="J19" s="42" t="n">
        <f aca="false">H19+I19</f>
        <v>2160</v>
      </c>
      <c r="K19" s="12" t="s">
        <v>525</v>
      </c>
      <c r="L19" s="12" t="s">
        <v>584</v>
      </c>
      <c r="M19" s="46" t="s">
        <v>527</v>
      </c>
      <c r="N19" s="28" t="s">
        <v>568</v>
      </c>
    </row>
    <row r="20" customFormat="false" ht="15" hidden="false" customHeight="false" outlineLevel="0" collapsed="false">
      <c r="A20" s="14" t="s">
        <v>585</v>
      </c>
      <c r="B20" s="14" t="s">
        <v>586</v>
      </c>
      <c r="C20" s="14" t="s">
        <v>587</v>
      </c>
      <c r="D20" s="14" t="s">
        <v>84</v>
      </c>
      <c r="E20" s="14" t="s">
        <v>434</v>
      </c>
      <c r="F20" s="14" t="s">
        <v>567</v>
      </c>
      <c r="G20" s="29" t="n">
        <v>740</v>
      </c>
      <c r="H20" s="31" t="n">
        <v>800</v>
      </c>
      <c r="I20" s="44" t="n">
        <f aca="false">H20*0.8</f>
        <v>640</v>
      </c>
      <c r="J20" s="45" t="n">
        <f aca="false">H20+I20</f>
        <v>1440</v>
      </c>
      <c r="K20" s="14" t="s">
        <v>525</v>
      </c>
      <c r="L20" s="14" t="s">
        <v>584</v>
      </c>
      <c r="M20" s="46" t="s">
        <v>527</v>
      </c>
      <c r="N20" s="34" t="s">
        <v>568</v>
      </c>
    </row>
    <row r="21" customFormat="false" ht="15" hidden="false" customHeight="false" outlineLevel="0" collapsed="false">
      <c r="A21" s="12" t="s">
        <v>588</v>
      </c>
      <c r="B21" s="12" t="s">
        <v>589</v>
      </c>
      <c r="C21" s="12" t="s">
        <v>590</v>
      </c>
      <c r="D21" s="12" t="s">
        <v>84</v>
      </c>
      <c r="E21" s="12" t="s">
        <v>298</v>
      </c>
      <c r="F21" s="12" t="s">
        <v>591</v>
      </c>
      <c r="G21" s="23" t="n">
        <v>494.65</v>
      </c>
      <c r="H21" s="25" t="n">
        <v>1100</v>
      </c>
      <c r="I21" s="41" t="n">
        <f aca="false">H21*0.8</f>
        <v>880</v>
      </c>
      <c r="J21" s="42" t="n">
        <f aca="false">H21+I21</f>
        <v>1980</v>
      </c>
      <c r="K21" s="12" t="s">
        <v>525</v>
      </c>
      <c r="L21" s="12" t="s">
        <v>576</v>
      </c>
      <c r="M21" s="46" t="s">
        <v>527</v>
      </c>
      <c r="N21" s="28" t="s">
        <v>592</v>
      </c>
    </row>
    <row r="22" customFormat="false" ht="15" hidden="false" customHeight="false" outlineLevel="0" collapsed="false">
      <c r="A22" s="14" t="s">
        <v>593</v>
      </c>
      <c r="B22" s="14" t="s">
        <v>594</v>
      </c>
      <c r="C22" s="14" t="s">
        <v>140</v>
      </c>
      <c r="D22" s="14" t="s">
        <v>84</v>
      </c>
      <c r="E22" s="14" t="s">
        <v>595</v>
      </c>
      <c r="F22" s="14" t="s">
        <v>591</v>
      </c>
      <c r="G22" s="29" t="n">
        <v>443.5</v>
      </c>
      <c r="H22" s="31" t="n">
        <v>950</v>
      </c>
      <c r="I22" s="44" t="n">
        <f aca="false">H22*0.8</f>
        <v>760</v>
      </c>
      <c r="J22" s="45" t="n">
        <f aca="false">H22+I22</f>
        <v>1710</v>
      </c>
      <c r="K22" s="14" t="s">
        <v>525</v>
      </c>
      <c r="L22" s="14" t="s">
        <v>584</v>
      </c>
      <c r="M22" s="46" t="s">
        <v>527</v>
      </c>
      <c r="N22" s="34" t="s">
        <v>592</v>
      </c>
    </row>
    <row r="23" customFormat="false" ht="15" hidden="false" customHeight="false" outlineLevel="0" collapsed="false">
      <c r="A23" s="12" t="s">
        <v>596</v>
      </c>
      <c r="B23" s="12" t="s">
        <v>597</v>
      </c>
      <c r="C23" s="12" t="s">
        <v>587</v>
      </c>
      <c r="D23" s="12" t="s">
        <v>84</v>
      </c>
      <c r="E23" s="12" t="s">
        <v>434</v>
      </c>
      <c r="F23" s="12" t="s">
        <v>591</v>
      </c>
      <c r="G23" s="23" t="n">
        <v>376</v>
      </c>
      <c r="H23" s="25" t="n">
        <v>700</v>
      </c>
      <c r="I23" s="41" t="n">
        <f aca="false">H23*0.8</f>
        <v>560</v>
      </c>
      <c r="J23" s="42" t="n">
        <f aca="false">H23+I23</f>
        <v>1260</v>
      </c>
      <c r="K23" s="12" t="s">
        <v>525</v>
      </c>
      <c r="L23" s="12" t="s">
        <v>584</v>
      </c>
      <c r="M23" s="46" t="s">
        <v>527</v>
      </c>
      <c r="N23" s="28" t="s">
        <v>592</v>
      </c>
    </row>
    <row r="24" customFormat="false" ht="15" hidden="false" customHeight="false" outlineLevel="0" collapsed="false">
      <c r="A24" s="14" t="s">
        <v>598</v>
      </c>
      <c r="B24" s="14" t="s">
        <v>599</v>
      </c>
      <c r="C24" s="14" t="s">
        <v>600</v>
      </c>
      <c r="D24" s="14" t="s">
        <v>84</v>
      </c>
      <c r="E24" s="14" t="s">
        <v>434</v>
      </c>
      <c r="F24" s="14" t="s">
        <v>591</v>
      </c>
      <c r="G24" s="29" t="n">
        <v>250</v>
      </c>
      <c r="H24" s="31" t="n">
        <v>500</v>
      </c>
      <c r="I24" s="44" t="n">
        <f aca="false">H24*0.8</f>
        <v>400</v>
      </c>
      <c r="J24" s="45" t="n">
        <f aca="false">H24+I24</f>
        <v>900</v>
      </c>
      <c r="K24" s="14" t="s">
        <v>525</v>
      </c>
      <c r="L24" s="14" t="s">
        <v>580</v>
      </c>
      <c r="M24" s="46" t="s">
        <v>527</v>
      </c>
      <c r="N24" s="34" t="s">
        <v>592</v>
      </c>
    </row>
    <row r="25" customFormat="false" ht="15" hidden="false" customHeight="false" outlineLevel="0" collapsed="false">
      <c r="A25" s="12" t="s">
        <v>601</v>
      </c>
      <c r="B25" s="12" t="s">
        <v>602</v>
      </c>
      <c r="C25" s="12" t="s">
        <v>603</v>
      </c>
      <c r="D25" s="12" t="s">
        <v>84</v>
      </c>
      <c r="E25" s="12" t="s">
        <v>434</v>
      </c>
      <c r="F25" s="12" t="s">
        <v>591</v>
      </c>
      <c r="G25" s="23" t="n">
        <v>300</v>
      </c>
      <c r="H25" s="25" t="n">
        <v>650</v>
      </c>
      <c r="I25" s="41" t="n">
        <f aca="false">H25*0.8</f>
        <v>520</v>
      </c>
      <c r="J25" s="42" t="n">
        <f aca="false">H25+I25</f>
        <v>1170</v>
      </c>
      <c r="K25" s="12" t="s">
        <v>525</v>
      </c>
      <c r="L25" s="12" t="s">
        <v>552</v>
      </c>
      <c r="M25" s="47" t="s">
        <v>572</v>
      </c>
      <c r="N25" s="28" t="s">
        <v>592</v>
      </c>
    </row>
    <row r="26" customFormat="false" ht="15" hidden="false" customHeight="false" outlineLevel="0" collapsed="false">
      <c r="A26" s="14" t="s">
        <v>604</v>
      </c>
      <c r="B26" s="14" t="s">
        <v>605</v>
      </c>
      <c r="C26" s="14" t="s">
        <v>606</v>
      </c>
      <c r="D26" s="14" t="s">
        <v>85</v>
      </c>
      <c r="E26" s="14" t="s">
        <v>607</v>
      </c>
      <c r="F26" s="14" t="s">
        <v>608</v>
      </c>
      <c r="G26" s="29" t="n">
        <v>70000</v>
      </c>
      <c r="H26" s="31" t="n">
        <v>10000</v>
      </c>
      <c r="I26" s="44" t="n">
        <f aca="false">H26*0.8</f>
        <v>8000</v>
      </c>
      <c r="J26" s="45" t="n">
        <f aca="false">H26+I26</f>
        <v>18000</v>
      </c>
      <c r="K26" s="14" t="s">
        <v>609</v>
      </c>
      <c r="L26" s="14" t="s">
        <v>610</v>
      </c>
      <c r="M26" s="46" t="s">
        <v>527</v>
      </c>
      <c r="N26" s="34" t="s">
        <v>611</v>
      </c>
    </row>
    <row r="27" customFormat="false" ht="15" hidden="false" customHeight="false" outlineLevel="0" collapsed="false">
      <c r="A27" s="12" t="s">
        <v>612</v>
      </c>
      <c r="B27" s="12" t="s">
        <v>613</v>
      </c>
      <c r="C27" s="12" t="s">
        <v>614</v>
      </c>
      <c r="D27" s="12" t="s">
        <v>85</v>
      </c>
      <c r="E27" s="12" t="s">
        <v>615</v>
      </c>
      <c r="F27" s="12" t="s">
        <v>608</v>
      </c>
      <c r="G27" s="23" t="n">
        <v>4651</v>
      </c>
      <c r="H27" s="25" t="n">
        <v>1166</v>
      </c>
      <c r="I27" s="41" t="n">
        <f aca="false">H27*0.8</f>
        <v>932.8</v>
      </c>
      <c r="J27" s="42" t="n">
        <f aca="false">H27+I27</f>
        <v>2098.8</v>
      </c>
      <c r="K27" s="12" t="s">
        <v>525</v>
      </c>
      <c r="L27" s="12" t="s">
        <v>526</v>
      </c>
      <c r="M27" s="46" t="s">
        <v>527</v>
      </c>
      <c r="N27" s="28" t="s">
        <v>616</v>
      </c>
    </row>
    <row r="28" customFormat="false" ht="15" hidden="false" customHeight="false" outlineLevel="0" collapsed="false">
      <c r="A28" s="14" t="s">
        <v>617</v>
      </c>
      <c r="B28" s="14" t="s">
        <v>618</v>
      </c>
      <c r="C28" s="14" t="s">
        <v>619</v>
      </c>
      <c r="D28" s="14" t="s">
        <v>85</v>
      </c>
      <c r="E28" s="14" t="s">
        <v>607</v>
      </c>
      <c r="F28" s="14" t="s">
        <v>608</v>
      </c>
      <c r="G28" s="29" t="n">
        <v>1740</v>
      </c>
      <c r="H28" s="31" t="n">
        <v>400</v>
      </c>
      <c r="I28" s="44" t="n">
        <f aca="false">H28*0.8</f>
        <v>320</v>
      </c>
      <c r="J28" s="45" t="n">
        <f aca="false">H28+I28</f>
        <v>720</v>
      </c>
      <c r="K28" s="14" t="s">
        <v>525</v>
      </c>
      <c r="L28" s="14" t="s">
        <v>576</v>
      </c>
      <c r="M28" s="46" t="s">
        <v>527</v>
      </c>
      <c r="N28" s="34" t="s">
        <v>616</v>
      </c>
    </row>
    <row r="29" customFormat="false" ht="20.85" hidden="false" customHeight="false" outlineLevel="0" collapsed="false">
      <c r="A29" s="12" t="s">
        <v>620</v>
      </c>
      <c r="B29" s="12" t="s">
        <v>621</v>
      </c>
      <c r="C29" s="12" t="s">
        <v>622</v>
      </c>
      <c r="D29" s="12" t="s">
        <v>85</v>
      </c>
      <c r="E29" s="12" t="s">
        <v>623</v>
      </c>
      <c r="F29" s="12" t="s">
        <v>608</v>
      </c>
      <c r="G29" s="23" t="n">
        <v>89731</v>
      </c>
      <c r="H29" s="25" t="n">
        <v>20000</v>
      </c>
      <c r="I29" s="41" t="n">
        <f aca="false">H29*0.8</f>
        <v>16000</v>
      </c>
      <c r="J29" s="42" t="n">
        <f aca="false">H29+I29</f>
        <v>36000</v>
      </c>
      <c r="K29" s="12" t="s">
        <v>525</v>
      </c>
      <c r="L29" s="12" t="s">
        <v>624</v>
      </c>
      <c r="M29" s="46" t="s">
        <v>527</v>
      </c>
      <c r="N29" s="28" t="s">
        <v>625</v>
      </c>
    </row>
    <row r="30" customFormat="false" ht="15" hidden="false" customHeight="false" outlineLevel="0" collapsed="false">
      <c r="A30" s="14" t="s">
        <v>626</v>
      </c>
      <c r="B30" s="14" t="s">
        <v>627</v>
      </c>
      <c r="C30" s="14" t="s">
        <v>628</v>
      </c>
      <c r="D30" s="14" t="s">
        <v>85</v>
      </c>
      <c r="E30" s="14" t="s">
        <v>629</v>
      </c>
      <c r="F30" s="14" t="s">
        <v>630</v>
      </c>
      <c r="G30" s="29" t="n">
        <v>135371</v>
      </c>
      <c r="H30" s="31" t="n">
        <v>100000</v>
      </c>
      <c r="I30" s="44" t="n">
        <f aca="false">H30*0.8</f>
        <v>80000</v>
      </c>
      <c r="J30" s="45" t="n">
        <f aca="false">H30+I30</f>
        <v>180000</v>
      </c>
      <c r="K30" s="14" t="s">
        <v>525</v>
      </c>
      <c r="L30" s="14" t="s">
        <v>624</v>
      </c>
      <c r="M30" s="46" t="s">
        <v>527</v>
      </c>
      <c r="N30" s="34" t="s">
        <v>631</v>
      </c>
    </row>
    <row r="31" customFormat="false" ht="15" hidden="false" customHeight="false" outlineLevel="0" collapsed="false">
      <c r="A31" s="12" t="s">
        <v>632</v>
      </c>
      <c r="B31" s="12" t="s">
        <v>633</v>
      </c>
      <c r="C31" s="12" t="s">
        <v>634</v>
      </c>
      <c r="D31" s="12" t="s">
        <v>81</v>
      </c>
      <c r="E31" s="12" t="s">
        <v>509</v>
      </c>
      <c r="F31" s="12" t="s">
        <v>635</v>
      </c>
      <c r="G31" s="23"/>
      <c r="H31" s="25"/>
      <c r="I31" s="41"/>
      <c r="J31" s="42"/>
      <c r="K31" s="12" t="s">
        <v>636</v>
      </c>
      <c r="L31" s="12" t="s">
        <v>637</v>
      </c>
      <c r="M31" s="43" t="s">
        <v>513</v>
      </c>
      <c r="N31" s="28" t="s">
        <v>638</v>
      </c>
    </row>
    <row r="32" customFormat="false" ht="15" hidden="false" customHeight="false" outlineLevel="0" collapsed="false">
      <c r="A32" s="14" t="s">
        <v>639</v>
      </c>
      <c r="B32" s="14" t="s">
        <v>640</v>
      </c>
      <c r="C32" s="14" t="s">
        <v>641</v>
      </c>
      <c r="D32" s="14" t="s">
        <v>331</v>
      </c>
      <c r="E32" s="14" t="s">
        <v>629</v>
      </c>
      <c r="F32" s="14" t="s">
        <v>642</v>
      </c>
      <c r="G32" s="29"/>
      <c r="H32" s="31"/>
      <c r="I32" s="44"/>
      <c r="J32" s="45"/>
      <c r="K32" s="14" t="s">
        <v>643</v>
      </c>
      <c r="L32" s="14" t="s">
        <v>644</v>
      </c>
      <c r="M32" s="46" t="s">
        <v>527</v>
      </c>
      <c r="N32" s="34" t="s">
        <v>645</v>
      </c>
    </row>
    <row r="33" customFormat="false" ht="15" hidden="false" customHeight="false" outlineLevel="0" collapsed="false">
      <c r="A33" s="12" t="s">
        <v>646</v>
      </c>
      <c r="B33" s="12" t="s">
        <v>647</v>
      </c>
      <c r="C33" s="12" t="s">
        <v>648</v>
      </c>
      <c r="D33" s="12" t="s">
        <v>84</v>
      </c>
      <c r="E33" s="12" t="s">
        <v>629</v>
      </c>
      <c r="F33" s="12" t="s">
        <v>649</v>
      </c>
      <c r="G33" s="23" t="n">
        <v>50000</v>
      </c>
      <c r="H33" s="25" t="n">
        <v>100000</v>
      </c>
      <c r="I33" s="41" t="n">
        <f aca="false">H33*0.8</f>
        <v>80000</v>
      </c>
      <c r="J33" s="42" t="n">
        <f aca="false">H33+I33</f>
        <v>180000</v>
      </c>
      <c r="K33" s="12" t="s">
        <v>650</v>
      </c>
      <c r="L33" s="12" t="s">
        <v>651</v>
      </c>
      <c r="M33" s="46" t="s">
        <v>527</v>
      </c>
      <c r="N33" s="28" t="s">
        <v>652</v>
      </c>
    </row>
    <row r="34" customFormat="false" ht="15" hidden="false" customHeight="false" outlineLevel="0" collapsed="false">
      <c r="A34" s="14" t="s">
        <v>653</v>
      </c>
      <c r="B34" s="14" t="s">
        <v>654</v>
      </c>
      <c r="C34" s="14" t="s">
        <v>655</v>
      </c>
      <c r="D34" s="14" t="s">
        <v>84</v>
      </c>
      <c r="E34" s="14" t="s">
        <v>629</v>
      </c>
      <c r="F34" s="14" t="s">
        <v>649</v>
      </c>
      <c r="G34" s="29" t="n">
        <v>1027000</v>
      </c>
      <c r="H34" s="31" t="n">
        <v>600000</v>
      </c>
      <c r="I34" s="44" t="n">
        <f aca="false">H34*0.8</f>
        <v>480000</v>
      </c>
      <c r="J34" s="45" t="n">
        <f aca="false">H34+I34</f>
        <v>1080000</v>
      </c>
      <c r="K34" s="14" t="s">
        <v>656</v>
      </c>
      <c r="L34" s="14" t="s">
        <v>651</v>
      </c>
      <c r="M34" s="47" t="s">
        <v>572</v>
      </c>
      <c r="N34" s="34" t="s">
        <v>657</v>
      </c>
    </row>
    <row r="35" customFormat="false" ht="15" hidden="false" customHeight="false" outlineLevel="0" collapsed="false">
      <c r="A35" s="12" t="s">
        <v>658</v>
      </c>
      <c r="B35" s="12" t="s">
        <v>659</v>
      </c>
      <c r="C35" s="12" t="s">
        <v>660</v>
      </c>
      <c r="D35" s="12" t="s">
        <v>661</v>
      </c>
      <c r="E35" s="12" t="s">
        <v>662</v>
      </c>
      <c r="F35" s="12" t="s">
        <v>663</v>
      </c>
      <c r="G35" s="23"/>
      <c r="H35" s="25"/>
      <c r="I35" s="41"/>
      <c r="J35" s="42"/>
      <c r="K35" s="12" t="s">
        <v>664</v>
      </c>
      <c r="L35" s="12" t="s">
        <v>644</v>
      </c>
      <c r="M35" s="43" t="s">
        <v>513</v>
      </c>
      <c r="N35" s="28" t="s">
        <v>665</v>
      </c>
    </row>
    <row r="36" customFormat="false" ht="15" hidden="false" customHeight="false" outlineLevel="0" collapsed="false">
      <c r="A36" s="14" t="s">
        <v>666</v>
      </c>
      <c r="B36" s="14" t="s">
        <v>667</v>
      </c>
      <c r="C36" s="14" t="s">
        <v>140</v>
      </c>
      <c r="D36" s="14" t="s">
        <v>668</v>
      </c>
      <c r="E36" s="14" t="s">
        <v>669</v>
      </c>
      <c r="F36" s="14" t="s">
        <v>670</v>
      </c>
      <c r="G36" s="29" t="n">
        <v>9207</v>
      </c>
      <c r="H36" s="31"/>
      <c r="I36" s="44"/>
      <c r="J36" s="45" t="n">
        <v>339000</v>
      </c>
      <c r="K36" s="14" t="s">
        <v>664</v>
      </c>
      <c r="L36" s="14" t="s">
        <v>644</v>
      </c>
      <c r="M36" s="43" t="s">
        <v>513</v>
      </c>
      <c r="N36" s="34" t="s">
        <v>671</v>
      </c>
    </row>
    <row r="37" customFormat="false" ht="15" hidden="false" customHeight="false" outlineLevel="0" collapsed="false">
      <c r="A37" s="12" t="s">
        <v>672</v>
      </c>
      <c r="B37" s="12" t="s">
        <v>673</v>
      </c>
      <c r="C37" s="12" t="s">
        <v>674</v>
      </c>
      <c r="D37" s="12" t="s">
        <v>668</v>
      </c>
      <c r="E37" s="12" t="s">
        <v>662</v>
      </c>
      <c r="F37" s="12" t="s">
        <v>663</v>
      </c>
      <c r="G37" s="23"/>
      <c r="H37" s="25"/>
      <c r="I37" s="41"/>
      <c r="J37" s="42"/>
      <c r="K37" s="12" t="s">
        <v>664</v>
      </c>
      <c r="L37" s="12" t="s">
        <v>644</v>
      </c>
      <c r="M37" s="43" t="s">
        <v>513</v>
      </c>
      <c r="N37" s="28" t="s">
        <v>675</v>
      </c>
    </row>
    <row r="38" customFormat="false" ht="20.85" hidden="false" customHeight="false" outlineLevel="0" collapsed="false">
      <c r="A38" s="14" t="s">
        <v>676</v>
      </c>
      <c r="B38" s="14" t="s">
        <v>677</v>
      </c>
      <c r="C38" s="14" t="s">
        <v>678</v>
      </c>
      <c r="D38" s="14" t="s">
        <v>84</v>
      </c>
      <c r="E38" s="14" t="s">
        <v>679</v>
      </c>
      <c r="F38" s="14" t="s">
        <v>680</v>
      </c>
      <c r="G38" s="29" t="n">
        <v>6450</v>
      </c>
      <c r="H38" s="31" t="n">
        <v>1000</v>
      </c>
      <c r="I38" s="44" t="n">
        <f aca="false">H38*0.8</f>
        <v>800</v>
      </c>
      <c r="J38" s="45" t="n">
        <f aca="false">H38+I38</f>
        <v>1800</v>
      </c>
      <c r="K38" s="14" t="s">
        <v>681</v>
      </c>
      <c r="L38" s="14" t="s">
        <v>610</v>
      </c>
      <c r="M38" s="47" t="s">
        <v>572</v>
      </c>
      <c r="N38" s="34" t="s">
        <v>682</v>
      </c>
    </row>
    <row r="39" customFormat="false" ht="15" hidden="false" customHeight="false" outlineLevel="0" collapsed="false">
      <c r="A39" s="12" t="s">
        <v>683</v>
      </c>
      <c r="B39" s="12" t="s">
        <v>684</v>
      </c>
      <c r="C39" s="12" t="s">
        <v>685</v>
      </c>
      <c r="D39" s="12" t="s">
        <v>84</v>
      </c>
      <c r="E39" s="12" t="s">
        <v>679</v>
      </c>
      <c r="F39" s="12" t="s">
        <v>680</v>
      </c>
      <c r="G39" s="23" t="n">
        <v>1000</v>
      </c>
      <c r="H39" s="25" t="n">
        <v>300</v>
      </c>
      <c r="I39" s="41" t="n">
        <f aca="false">H39*0.8</f>
        <v>240</v>
      </c>
      <c r="J39" s="42" t="n">
        <f aca="false">H39+I39</f>
        <v>540</v>
      </c>
      <c r="K39" s="12" t="s">
        <v>681</v>
      </c>
      <c r="L39" s="12" t="s">
        <v>686</v>
      </c>
      <c r="M39" s="47" t="s">
        <v>572</v>
      </c>
      <c r="N39" s="28" t="s">
        <v>687</v>
      </c>
    </row>
    <row r="40" customFormat="false" ht="15" hidden="false" customHeight="false" outlineLevel="0" collapsed="false">
      <c r="A40" s="14" t="s">
        <v>688</v>
      </c>
      <c r="B40" s="14" t="s">
        <v>689</v>
      </c>
      <c r="C40" s="14" t="s">
        <v>690</v>
      </c>
      <c r="D40" s="14" t="s">
        <v>84</v>
      </c>
      <c r="E40" s="14" t="s">
        <v>629</v>
      </c>
      <c r="F40" s="14" t="s">
        <v>680</v>
      </c>
      <c r="G40" s="29" t="n">
        <v>5000</v>
      </c>
      <c r="H40" s="31" t="n">
        <v>200</v>
      </c>
      <c r="I40" s="44" t="n">
        <f aca="false">H40*0.8</f>
        <v>160</v>
      </c>
      <c r="J40" s="45" t="n">
        <f aca="false">H40+I40</f>
        <v>360</v>
      </c>
      <c r="K40" s="14" t="s">
        <v>681</v>
      </c>
      <c r="L40" s="14" t="s">
        <v>610</v>
      </c>
      <c r="M40" s="47" t="s">
        <v>572</v>
      </c>
      <c r="N40" s="34" t="s">
        <v>687</v>
      </c>
    </row>
    <row r="41" customFormat="false" ht="15" hidden="false" customHeight="false" outlineLevel="0" collapsed="false">
      <c r="A41" s="12" t="s">
        <v>691</v>
      </c>
      <c r="B41" s="12" t="s">
        <v>692</v>
      </c>
      <c r="C41" s="12" t="s">
        <v>579</v>
      </c>
      <c r="D41" s="12" t="s">
        <v>84</v>
      </c>
      <c r="E41" s="12" t="s">
        <v>298</v>
      </c>
      <c r="F41" s="12" t="s">
        <v>693</v>
      </c>
      <c r="G41" s="23"/>
      <c r="H41" s="25"/>
      <c r="I41" s="41"/>
      <c r="J41" s="42"/>
      <c r="K41" s="12" t="s">
        <v>664</v>
      </c>
      <c r="L41" s="12" t="s">
        <v>644</v>
      </c>
      <c r="M41" s="46" t="s">
        <v>527</v>
      </c>
      <c r="N41" s="28" t="s">
        <v>694</v>
      </c>
    </row>
    <row r="42" customFormat="false" ht="15" hidden="false" customHeight="false" outlineLevel="0" collapsed="false">
      <c r="A42" s="14" t="s">
        <v>695</v>
      </c>
      <c r="B42" s="14" t="s">
        <v>696</v>
      </c>
      <c r="C42" s="14" t="s">
        <v>697</v>
      </c>
      <c r="D42" s="14" t="s">
        <v>668</v>
      </c>
      <c r="E42" s="14" t="s">
        <v>698</v>
      </c>
      <c r="F42" s="14" t="s">
        <v>693</v>
      </c>
      <c r="G42" s="29"/>
      <c r="H42" s="31"/>
      <c r="I42" s="44"/>
      <c r="J42" s="45" t="n">
        <v>2500</v>
      </c>
      <c r="K42" s="14" t="s">
        <v>699</v>
      </c>
      <c r="L42" s="14" t="s">
        <v>552</v>
      </c>
      <c r="M42" s="46" t="s">
        <v>527</v>
      </c>
      <c r="N42" s="34" t="s">
        <v>700</v>
      </c>
    </row>
    <row r="43" customFormat="false" ht="15" hidden="false" customHeight="false" outlineLevel="0" collapsed="false">
      <c r="A43" s="12" t="s">
        <v>701</v>
      </c>
      <c r="B43" s="12" t="s">
        <v>702</v>
      </c>
      <c r="C43" s="12" t="s">
        <v>703</v>
      </c>
      <c r="D43" s="12" t="s">
        <v>668</v>
      </c>
      <c r="E43" s="12" t="s">
        <v>704</v>
      </c>
      <c r="F43" s="12" t="s">
        <v>693</v>
      </c>
      <c r="G43" s="23"/>
      <c r="H43" s="25"/>
      <c r="I43" s="41"/>
      <c r="J43" s="42" t="n">
        <v>1800</v>
      </c>
      <c r="K43" s="12" t="s">
        <v>699</v>
      </c>
      <c r="L43" s="12" t="s">
        <v>576</v>
      </c>
      <c r="M43" s="46" t="s">
        <v>527</v>
      </c>
      <c r="N43" s="28" t="s">
        <v>705</v>
      </c>
    </row>
    <row r="44" customFormat="false" ht="15" hidden="false" customHeight="false" outlineLevel="0" collapsed="false">
      <c r="A44" s="14" t="s">
        <v>706</v>
      </c>
      <c r="B44" s="14" t="s">
        <v>707</v>
      </c>
      <c r="C44" s="14" t="s">
        <v>697</v>
      </c>
      <c r="D44" s="14" t="s">
        <v>668</v>
      </c>
      <c r="E44" s="14" t="s">
        <v>708</v>
      </c>
      <c r="F44" s="14" t="s">
        <v>709</v>
      </c>
      <c r="G44" s="29" t="n">
        <v>437.5</v>
      </c>
      <c r="H44" s="31" t="n">
        <v>600</v>
      </c>
      <c r="I44" s="44" t="n">
        <f aca="false">H44*0.8</f>
        <v>480</v>
      </c>
      <c r="J44" s="45" t="n">
        <f aca="false">H44+I44</f>
        <v>1080</v>
      </c>
      <c r="K44" s="14" t="s">
        <v>699</v>
      </c>
      <c r="L44" s="14" t="s">
        <v>576</v>
      </c>
      <c r="M44" s="46" t="s">
        <v>527</v>
      </c>
      <c r="N44" s="34" t="s">
        <v>710</v>
      </c>
    </row>
    <row r="45" customFormat="false" ht="15" hidden="false" customHeight="false" outlineLevel="0" collapsed="false">
      <c r="A45" s="12" t="s">
        <v>711</v>
      </c>
      <c r="B45" s="12" t="s">
        <v>712</v>
      </c>
      <c r="C45" s="12" t="s">
        <v>713</v>
      </c>
      <c r="D45" s="12" t="s">
        <v>85</v>
      </c>
      <c r="E45" s="12" t="s">
        <v>290</v>
      </c>
      <c r="F45" s="12" t="s">
        <v>714</v>
      </c>
      <c r="G45" s="23"/>
      <c r="H45" s="25"/>
      <c r="I45" s="41"/>
      <c r="J45" s="42" t="n">
        <v>400</v>
      </c>
      <c r="K45" s="12" t="s">
        <v>699</v>
      </c>
      <c r="L45" s="12" t="s">
        <v>580</v>
      </c>
      <c r="M45" s="47" t="s">
        <v>572</v>
      </c>
      <c r="N45" s="28" t="s">
        <v>715</v>
      </c>
    </row>
    <row r="46" customFormat="false" ht="15" hidden="false" customHeight="false" outlineLevel="0" collapsed="false">
      <c r="A46" s="14" t="s">
        <v>716</v>
      </c>
      <c r="B46" s="14" t="s">
        <v>717</v>
      </c>
      <c r="C46" s="14" t="s">
        <v>718</v>
      </c>
      <c r="D46" s="14" t="s">
        <v>85</v>
      </c>
      <c r="E46" s="14" t="s">
        <v>290</v>
      </c>
      <c r="F46" s="14" t="s">
        <v>714</v>
      </c>
      <c r="G46" s="29"/>
      <c r="H46" s="31"/>
      <c r="I46" s="44"/>
      <c r="J46" s="45" t="n">
        <v>350</v>
      </c>
      <c r="K46" s="14" t="s">
        <v>699</v>
      </c>
      <c r="L46" s="14" t="s">
        <v>584</v>
      </c>
      <c r="M46" s="47" t="s">
        <v>572</v>
      </c>
      <c r="N46" s="34" t="s">
        <v>719</v>
      </c>
    </row>
    <row r="47" customFormat="false" ht="15" hidden="false" customHeight="false" outlineLevel="0" collapsed="false">
      <c r="A47" s="12" t="s">
        <v>720</v>
      </c>
      <c r="B47" s="12" t="s">
        <v>721</v>
      </c>
      <c r="C47" s="12" t="s">
        <v>722</v>
      </c>
      <c r="D47" s="12" t="s">
        <v>84</v>
      </c>
      <c r="E47" s="12" t="s">
        <v>298</v>
      </c>
      <c r="F47" s="12" t="s">
        <v>714</v>
      </c>
      <c r="G47" s="23"/>
      <c r="H47" s="25"/>
      <c r="I47" s="41"/>
      <c r="J47" s="42" t="n">
        <v>150</v>
      </c>
      <c r="K47" s="12" t="s">
        <v>699</v>
      </c>
      <c r="L47" s="12" t="s">
        <v>723</v>
      </c>
      <c r="M47" s="47" t="s">
        <v>572</v>
      </c>
      <c r="N47" s="28" t="s">
        <v>724</v>
      </c>
    </row>
    <row r="48" customFormat="false" ht="15" hidden="false" customHeight="false" outlineLevel="0" collapsed="false">
      <c r="A48" s="14" t="s">
        <v>725</v>
      </c>
      <c r="B48" s="14" t="s">
        <v>726</v>
      </c>
      <c r="C48" s="14" t="s">
        <v>727</v>
      </c>
      <c r="D48" s="14" t="s">
        <v>84</v>
      </c>
      <c r="E48" s="14" t="s">
        <v>298</v>
      </c>
      <c r="F48" s="14" t="s">
        <v>714</v>
      </c>
      <c r="G48" s="29"/>
      <c r="H48" s="31"/>
      <c r="I48" s="44"/>
      <c r="J48" s="45" t="n">
        <v>200</v>
      </c>
      <c r="K48" s="14" t="s">
        <v>699</v>
      </c>
      <c r="L48" s="14" t="s">
        <v>580</v>
      </c>
      <c r="M48" s="47" t="s">
        <v>572</v>
      </c>
      <c r="N48" s="34" t="s">
        <v>728</v>
      </c>
    </row>
    <row r="49" customFormat="false" ht="15" hidden="false" customHeight="false" outlineLevel="0" collapsed="false">
      <c r="A49" s="12" t="s">
        <v>729</v>
      </c>
      <c r="B49" s="12" t="s">
        <v>730</v>
      </c>
      <c r="C49" s="12" t="s">
        <v>731</v>
      </c>
      <c r="D49" s="12" t="s">
        <v>85</v>
      </c>
      <c r="E49" s="12" t="s">
        <v>290</v>
      </c>
      <c r="F49" s="12" t="s">
        <v>714</v>
      </c>
      <c r="G49" s="23"/>
      <c r="H49" s="25"/>
      <c r="I49" s="41"/>
      <c r="J49" s="42" t="n">
        <v>180</v>
      </c>
      <c r="K49" s="12" t="s">
        <v>699</v>
      </c>
      <c r="L49" s="12" t="s">
        <v>584</v>
      </c>
      <c r="M49" s="47" t="s">
        <v>572</v>
      </c>
      <c r="N49" s="28" t="s">
        <v>732</v>
      </c>
    </row>
    <row r="50" customFormat="false" ht="15" hidden="false" customHeight="false" outlineLevel="0" collapsed="false">
      <c r="A50" s="14" t="s">
        <v>733</v>
      </c>
      <c r="B50" s="14" t="s">
        <v>734</v>
      </c>
      <c r="C50" s="14" t="s">
        <v>262</v>
      </c>
      <c r="D50" s="14" t="s">
        <v>668</v>
      </c>
      <c r="E50" s="14" t="s">
        <v>704</v>
      </c>
      <c r="F50" s="14" t="s">
        <v>714</v>
      </c>
      <c r="G50" s="29"/>
      <c r="H50" s="31"/>
      <c r="I50" s="44"/>
      <c r="J50" s="45" t="n">
        <v>220</v>
      </c>
      <c r="K50" s="14" t="s">
        <v>699</v>
      </c>
      <c r="L50" s="14" t="s">
        <v>576</v>
      </c>
      <c r="M50" s="47" t="s">
        <v>572</v>
      </c>
      <c r="N50" s="34" t="s">
        <v>735</v>
      </c>
    </row>
    <row r="51" customFormat="false" ht="15" hidden="false" customHeight="false" outlineLevel="0" collapsed="false">
      <c r="A51" s="12" t="s">
        <v>736</v>
      </c>
      <c r="B51" s="12" t="s">
        <v>737</v>
      </c>
      <c r="C51" s="12" t="s">
        <v>738</v>
      </c>
      <c r="D51" s="12" t="s">
        <v>739</v>
      </c>
      <c r="E51" s="12" t="s">
        <v>662</v>
      </c>
      <c r="F51" s="12" t="s">
        <v>740</v>
      </c>
      <c r="G51" s="23" t="n">
        <v>8000</v>
      </c>
      <c r="H51" s="25"/>
      <c r="I51" s="41"/>
      <c r="J51" s="42"/>
      <c r="K51" s="12" t="s">
        <v>741</v>
      </c>
      <c r="L51" s="12" t="s">
        <v>644</v>
      </c>
      <c r="M51" s="46" t="s">
        <v>527</v>
      </c>
      <c r="N51" s="28" t="s">
        <v>742</v>
      </c>
    </row>
    <row r="52" customFormat="false" ht="15" hidden="false" customHeight="false" outlineLevel="0" collapsed="false">
      <c r="A52" s="14" t="s">
        <v>743</v>
      </c>
      <c r="B52" s="14" t="s">
        <v>744</v>
      </c>
      <c r="C52" s="14" t="s">
        <v>738</v>
      </c>
      <c r="D52" s="14" t="s">
        <v>745</v>
      </c>
      <c r="E52" s="14" t="s">
        <v>746</v>
      </c>
      <c r="F52" s="14" t="s">
        <v>536</v>
      </c>
      <c r="G52" s="29"/>
      <c r="H52" s="31"/>
      <c r="I52" s="44"/>
      <c r="J52" s="45"/>
      <c r="K52" s="14" t="s">
        <v>643</v>
      </c>
      <c r="L52" s="14" t="s">
        <v>644</v>
      </c>
      <c r="M52" s="46" t="s">
        <v>527</v>
      </c>
      <c r="N52" s="34" t="s">
        <v>351</v>
      </c>
    </row>
    <row r="53" customFormat="false" ht="15" hidden="false" customHeight="false" outlineLevel="0" collapsed="false">
      <c r="A53" s="48"/>
      <c r="B53" s="48" t="s">
        <v>747</v>
      </c>
      <c r="C53" s="48"/>
      <c r="D53" s="48"/>
      <c r="E53" s="48"/>
      <c r="F53" s="48"/>
      <c r="G53" s="49" t="n">
        <f aca="false">SUM(G5:G52)</f>
        <v>1569760.65</v>
      </c>
      <c r="H53" s="49" t="n">
        <f aca="false">SUM(H5:H52)</f>
        <v>869776</v>
      </c>
      <c r="I53" s="49" t="n">
        <f aca="false">SUM(I5:I52)</f>
        <v>695820.8</v>
      </c>
      <c r="J53" s="49" t="n">
        <f aca="false">SUM(J5:J52)</f>
        <v>1910396.8</v>
      </c>
      <c r="K53" s="48"/>
      <c r="L53" s="48"/>
      <c r="M53" s="48"/>
      <c r="N53" s="48"/>
    </row>
  </sheetData>
  <mergeCells count="3">
    <mergeCell ref="A1:N1"/>
    <mergeCell ref="A2:N2"/>
    <mergeCell ref="B53:F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0"/>
    <col collapsed="false" customWidth="true" hidden="false" outlineLevel="0" max="4" min="4" style="0" width="18"/>
    <col collapsed="false" customWidth="true" hidden="false" outlineLevel="0" max="7" min="5" style="0" width="10"/>
  </cols>
  <sheetData>
    <row r="1" customFormat="false" ht="25.5" hidden="false" customHeight="true" outlineLevel="0" collapsed="false">
      <c r="A1" s="1" t="s">
        <v>748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749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4" t="s">
        <v>750</v>
      </c>
      <c r="B4" s="4"/>
      <c r="C4" s="4"/>
      <c r="D4" s="4"/>
      <c r="E4" s="4"/>
      <c r="F4" s="4"/>
      <c r="G4" s="4"/>
    </row>
    <row r="5" customFormat="false" ht="31.5" hidden="false" customHeight="true" outlineLevel="0" collapsed="false">
      <c r="A5" s="11" t="s">
        <v>751</v>
      </c>
      <c r="B5" s="11" t="s">
        <v>752</v>
      </c>
      <c r="C5" s="11" t="s">
        <v>753</v>
      </c>
      <c r="D5" s="11" t="s">
        <v>754</v>
      </c>
    </row>
    <row r="6" customFormat="false" ht="15" hidden="false" customHeight="false" outlineLevel="0" collapsed="false">
      <c r="A6" s="12" t="s">
        <v>755</v>
      </c>
      <c r="B6" s="50" t="n">
        <v>81.72</v>
      </c>
      <c r="C6" s="12"/>
      <c r="D6" s="12"/>
    </row>
    <row r="7" customFormat="false" ht="15" hidden="false" customHeight="false" outlineLevel="0" collapsed="false">
      <c r="A7" s="14" t="s">
        <v>756</v>
      </c>
      <c r="B7" s="51" t="n">
        <v>83.57</v>
      </c>
      <c r="C7" s="52" t="n">
        <v>0.0195</v>
      </c>
      <c r="D7" s="14"/>
    </row>
    <row r="8" customFormat="false" ht="15" hidden="false" customHeight="false" outlineLevel="0" collapsed="false">
      <c r="A8" s="12" t="s">
        <v>757</v>
      </c>
      <c r="B8" s="50" t="n">
        <v>81.04</v>
      </c>
      <c r="C8" s="12"/>
      <c r="D8" s="12"/>
    </row>
    <row r="9" customFormat="false" ht="15" hidden="false" customHeight="false" outlineLevel="0" collapsed="false">
      <c r="A9" s="14" t="s">
        <v>758</v>
      </c>
      <c r="B9" s="51" t="n">
        <v>58.85</v>
      </c>
      <c r="C9" s="52" t="n">
        <v>0.18</v>
      </c>
      <c r="D9" s="14"/>
    </row>
    <row r="10" customFormat="false" ht="15" hidden="false" customHeight="false" outlineLevel="0" collapsed="false">
      <c r="A10" s="12" t="s">
        <v>759</v>
      </c>
      <c r="B10" s="12"/>
      <c r="C10" s="12"/>
      <c r="D10" s="53" t="n">
        <v>1.16</v>
      </c>
    </row>
    <row r="11" customFormat="false" ht="20.85" hidden="false" customHeight="true" outlineLevel="0" collapsed="false">
      <c r="A11" s="22" t="s">
        <v>760</v>
      </c>
      <c r="B11" s="22"/>
      <c r="C11" s="22"/>
      <c r="D11" s="22"/>
      <c r="E11" s="22"/>
      <c r="F11" s="22"/>
      <c r="G11" s="22"/>
    </row>
    <row r="13" customFormat="false" ht="15" hidden="false" customHeight="false" outlineLevel="0" collapsed="false">
      <c r="A13" s="4" t="s">
        <v>761</v>
      </c>
      <c r="B13" s="4"/>
      <c r="C13" s="4"/>
      <c r="D13" s="4"/>
      <c r="E13" s="4"/>
      <c r="F13" s="4"/>
      <c r="G13" s="4"/>
    </row>
    <row r="14" customFormat="false" ht="31.5" hidden="false" customHeight="true" outlineLevel="0" collapsed="false">
      <c r="A14" s="11" t="s">
        <v>78</v>
      </c>
      <c r="B14" s="11" t="s">
        <v>762</v>
      </c>
      <c r="C14" s="11" t="s">
        <v>763</v>
      </c>
      <c r="D14" s="11" t="s">
        <v>77</v>
      </c>
    </row>
    <row r="15" customFormat="false" ht="15" hidden="false" customHeight="false" outlineLevel="0" collapsed="false">
      <c r="A15" s="12" t="s">
        <v>85</v>
      </c>
      <c r="B15" s="54" t="n">
        <v>0.3</v>
      </c>
      <c r="C15" s="50" t="n">
        <v>10.56</v>
      </c>
      <c r="D15" s="12" t="n">
        <v>1</v>
      </c>
    </row>
    <row r="16" customFormat="false" ht="15" hidden="false" customHeight="false" outlineLevel="0" collapsed="false">
      <c r="A16" s="14" t="s">
        <v>84</v>
      </c>
      <c r="B16" s="55" t="n">
        <v>0.16</v>
      </c>
      <c r="C16" s="51" t="n">
        <v>9.4</v>
      </c>
      <c r="D16" s="14" t="n">
        <v>2</v>
      </c>
    </row>
    <row r="17" customFormat="false" ht="15" hidden="false" customHeight="false" outlineLevel="0" collapsed="false">
      <c r="A17" s="12" t="s">
        <v>83</v>
      </c>
      <c r="B17" s="54" t="n">
        <v>0.1</v>
      </c>
      <c r="C17" s="50" t="n">
        <v>3.6</v>
      </c>
      <c r="D17" s="12" t="n">
        <v>3</v>
      </c>
    </row>
    <row r="18" customFormat="false" ht="15" hidden="false" customHeight="false" outlineLevel="0" collapsed="false">
      <c r="A18" s="14" t="s">
        <v>81</v>
      </c>
      <c r="B18" s="55" t="n">
        <v>0.064</v>
      </c>
      <c r="C18" s="51" t="n">
        <v>2.25</v>
      </c>
      <c r="D18" s="14" t="n">
        <v>4</v>
      </c>
    </row>
    <row r="19" customFormat="false" ht="15" hidden="false" customHeight="false" outlineLevel="0" collapsed="false">
      <c r="A19" s="12" t="s">
        <v>86</v>
      </c>
      <c r="B19" s="54" t="n">
        <v>0.14</v>
      </c>
      <c r="C19" s="50" t="n">
        <v>4.93</v>
      </c>
      <c r="D19" s="12" t="n">
        <v>5</v>
      </c>
    </row>
    <row r="20" customFormat="false" ht="15" hidden="false" customHeight="false" outlineLevel="0" collapsed="false">
      <c r="A20" s="14" t="s">
        <v>324</v>
      </c>
      <c r="B20" s="55" t="n">
        <v>0.055</v>
      </c>
      <c r="C20" s="51" t="n">
        <v>1.94</v>
      </c>
      <c r="D20" s="14" t="n">
        <v>6</v>
      </c>
    </row>
    <row r="21" customFormat="false" ht="15" hidden="false" customHeight="false" outlineLevel="0" collapsed="false">
      <c r="A21" s="12" t="s">
        <v>764</v>
      </c>
      <c r="B21" s="54" t="n">
        <v>0.181</v>
      </c>
      <c r="C21" s="50" t="n">
        <v>2.52</v>
      </c>
      <c r="D21" s="12" t="n">
        <v>7</v>
      </c>
    </row>
    <row r="22" customFormat="false" ht="15" hidden="false" customHeight="true" outlineLevel="0" collapsed="false">
      <c r="A22" s="22" t="s">
        <v>765</v>
      </c>
      <c r="B22" s="22"/>
      <c r="C22" s="22"/>
      <c r="D22" s="22"/>
      <c r="E22" s="22"/>
      <c r="F22" s="22"/>
      <c r="G22" s="22"/>
    </row>
    <row r="24" customFormat="false" ht="15" hidden="false" customHeight="false" outlineLevel="0" collapsed="false">
      <c r="A24" s="4" t="s">
        <v>766</v>
      </c>
      <c r="B24" s="4"/>
      <c r="C24" s="4"/>
      <c r="D24" s="4"/>
      <c r="E24" s="4"/>
      <c r="F24" s="4"/>
      <c r="G24" s="4"/>
    </row>
    <row r="25" customFormat="false" ht="31.5" hidden="false" customHeight="true" outlineLevel="0" collapsed="false">
      <c r="A25" s="11" t="s">
        <v>495</v>
      </c>
      <c r="B25" s="11" t="s">
        <v>767</v>
      </c>
      <c r="C25" s="11" t="s">
        <v>768</v>
      </c>
      <c r="D25" s="11" t="s">
        <v>769</v>
      </c>
    </row>
    <row r="26" customFormat="false" ht="15" hidden="false" customHeight="false" outlineLevel="0" collapsed="false">
      <c r="A26" s="12" t="s">
        <v>770</v>
      </c>
      <c r="B26" s="54" t="n">
        <v>0.16</v>
      </c>
      <c r="C26" s="13" t="n">
        <v>839105</v>
      </c>
      <c r="D26" s="50" t="n">
        <v>127.26</v>
      </c>
    </row>
    <row r="27" customFormat="false" ht="15" hidden="false" customHeight="false" outlineLevel="0" collapsed="false">
      <c r="A27" s="14" t="s">
        <v>771</v>
      </c>
      <c r="B27" s="55" t="n">
        <v>0.16</v>
      </c>
      <c r="C27" s="15" t="n">
        <v>877697</v>
      </c>
      <c r="D27" s="51" t="n">
        <v>121.4</v>
      </c>
    </row>
    <row r="28" customFormat="false" ht="15" hidden="false" customHeight="false" outlineLevel="0" collapsed="false">
      <c r="A28" s="12" t="s">
        <v>772</v>
      </c>
      <c r="B28" s="54" t="n">
        <v>0.07</v>
      </c>
      <c r="C28" s="13" t="n">
        <v>363768</v>
      </c>
      <c r="D28" s="50" t="n">
        <v>50.93</v>
      </c>
    </row>
    <row r="29" customFormat="false" ht="15" hidden="false" customHeight="false" outlineLevel="0" collapsed="false">
      <c r="A29" s="14" t="s">
        <v>773</v>
      </c>
      <c r="B29" s="55" t="n">
        <v>0.05</v>
      </c>
      <c r="C29" s="15" t="n">
        <v>260000</v>
      </c>
      <c r="D29" s="51" t="n">
        <v>37</v>
      </c>
    </row>
    <row r="30" customFormat="false" ht="15" hidden="false" customHeight="false" outlineLevel="0" collapsed="false">
      <c r="A30" s="12" t="s">
        <v>774</v>
      </c>
      <c r="B30" s="54" t="n">
        <v>0.052</v>
      </c>
      <c r="C30" s="13" t="n">
        <v>270000</v>
      </c>
      <c r="D30" s="50" t="n">
        <v>38.5</v>
      </c>
    </row>
    <row r="31" customFormat="false" ht="15" hidden="false" customHeight="false" outlineLevel="0" collapsed="false">
      <c r="A31" s="14" t="s">
        <v>775</v>
      </c>
      <c r="B31" s="55" t="n">
        <v>0.061</v>
      </c>
      <c r="C31" s="15" t="n">
        <v>317000</v>
      </c>
      <c r="D31" s="51" t="n">
        <v>45.2</v>
      </c>
    </row>
    <row r="32" customFormat="false" ht="15" hidden="false" customHeight="false" outlineLevel="0" collapsed="false">
      <c r="A32" s="12" t="s">
        <v>776</v>
      </c>
      <c r="B32" s="54" t="n">
        <v>0.447</v>
      </c>
      <c r="C32" s="13" t="n">
        <v>2330000</v>
      </c>
      <c r="D32" s="50" t="n">
        <v>332.5</v>
      </c>
    </row>
    <row r="33" customFormat="false" ht="20.85" hidden="false" customHeight="true" outlineLevel="0" collapsed="false">
      <c r="A33" s="22" t="s">
        <v>777</v>
      </c>
      <c r="B33" s="22"/>
      <c r="C33" s="22"/>
      <c r="D33" s="22"/>
      <c r="E33" s="22"/>
      <c r="F33" s="22"/>
      <c r="G33" s="22"/>
    </row>
    <row r="35" customFormat="false" ht="15" hidden="false" customHeight="false" outlineLevel="0" collapsed="false">
      <c r="A35" s="4" t="s">
        <v>778</v>
      </c>
      <c r="B35" s="4"/>
      <c r="C35" s="4"/>
      <c r="D35" s="4"/>
      <c r="E35" s="4"/>
      <c r="F35" s="4"/>
      <c r="G35" s="4"/>
    </row>
    <row r="36" customFormat="false" ht="27.75" hidden="false" customHeight="true" outlineLevel="0" collapsed="false">
      <c r="A36" s="11" t="s">
        <v>779</v>
      </c>
      <c r="B36" s="11" t="s">
        <v>780</v>
      </c>
      <c r="C36" s="11" t="s">
        <v>781</v>
      </c>
    </row>
    <row r="37" customFormat="false" ht="15" hidden="false" customHeight="false" outlineLevel="0" collapsed="false">
      <c r="A37" s="12" t="s">
        <v>782</v>
      </c>
      <c r="B37" s="54" t="n">
        <v>0.34</v>
      </c>
      <c r="C37" s="56" t="n">
        <v>12</v>
      </c>
    </row>
    <row r="38" customFormat="false" ht="15" hidden="false" customHeight="false" outlineLevel="0" collapsed="false">
      <c r="A38" s="14" t="s">
        <v>783</v>
      </c>
      <c r="B38" s="55" t="n">
        <v>0.188</v>
      </c>
      <c r="C38" s="57" t="n">
        <v>6.6</v>
      </c>
    </row>
    <row r="39" customFormat="false" ht="15" hidden="false" customHeight="false" outlineLevel="0" collapsed="false">
      <c r="A39" s="12" t="s">
        <v>784</v>
      </c>
      <c r="B39" s="54" t="n">
        <v>0.099</v>
      </c>
      <c r="C39" s="56" t="n">
        <v>3.5</v>
      </c>
    </row>
    <row r="40" customFormat="false" ht="15" hidden="false" customHeight="false" outlineLevel="0" collapsed="false">
      <c r="A40" s="14" t="s">
        <v>776</v>
      </c>
      <c r="B40" s="55" t="n">
        <v>0.373</v>
      </c>
      <c r="C40" s="57" t="n">
        <v>13.1</v>
      </c>
    </row>
    <row r="41" customFormat="false" ht="15" hidden="false" customHeight="true" outlineLevel="0" collapsed="false">
      <c r="A41" s="22" t="s">
        <v>785</v>
      </c>
      <c r="B41" s="22"/>
      <c r="C41" s="22"/>
      <c r="D41" s="22"/>
      <c r="E41" s="22"/>
      <c r="F41" s="22"/>
      <c r="G41" s="22"/>
    </row>
  </sheetData>
  <mergeCells count="10">
    <mergeCell ref="A1:G1"/>
    <mergeCell ref="A2:G2"/>
    <mergeCell ref="A4:G4"/>
    <mergeCell ref="A11:G11"/>
    <mergeCell ref="A13:G13"/>
    <mergeCell ref="A22:G22"/>
    <mergeCell ref="A24:G24"/>
    <mergeCell ref="A33:G33"/>
    <mergeCell ref="A35:G35"/>
    <mergeCell ref="A41:G41"/>
  </mergeCells>
  <conditionalFormatting sqref="B15:B21">
    <cfRule type="dataBar" priority="2">
      <dataBar showValue="1" minLength="10" maxLength="90">
        <cfvo type="min" val="0"/>
        <cfvo type="max" val="0.3"/>
        <color rgb="FF0F7173"/>
      </dataBar>
      <extLst>
        <ext xmlns:x14="http://schemas.microsoft.com/office/spreadsheetml/2009/9/main" uri="{B025F937-C7B1-47D3-B67F-A62EFF666E3E}">
          <x14:id>{5827CAF2-2D30-434C-9EF4-9D80D2E4C7C1}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27CAF2-2D30-434C-9EF4-9D80D2E4C7C1}">
            <x14:dataBar minLength="10" maxLength="90" axisPosition="none" gradient="true">
              <x14:cfvo type="min"/>
              <x14:cfvo type="max"/>
              <x14:negativeFillColor rgb="FF0F7173"/>
              <x14:axisColor rgb="FF000000"/>
            </x14:dataBar>
          </x14:cfRule>
          <xm:sqref>B15:B21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15"/>
    <col collapsed="false" customWidth="true" hidden="false" outlineLevel="0" max="8" min="6" style="0" width="13"/>
    <col collapsed="false" customWidth="true" hidden="false" outlineLevel="0" max="9" min="9" style="0" width="46"/>
  </cols>
  <sheetData>
    <row r="1" customFormat="false" ht="25.5" hidden="false" customHeight="true" outlineLevel="0" collapsed="false">
      <c r="A1" s="1" t="s">
        <v>786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787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4" t="s">
        <v>788</v>
      </c>
      <c r="B4" s="4"/>
      <c r="C4" s="4"/>
      <c r="D4" s="4"/>
      <c r="E4" s="4"/>
      <c r="F4" s="4"/>
      <c r="G4" s="4"/>
      <c r="H4" s="4"/>
      <c r="I4" s="4"/>
    </row>
    <row r="5" customFormat="false" ht="25.5" hidden="false" customHeight="true" outlineLevel="0" collapsed="false">
      <c r="A5" s="11" t="s">
        <v>789</v>
      </c>
      <c r="B5" s="11" t="s">
        <v>790</v>
      </c>
      <c r="C5" s="11" t="s">
        <v>791</v>
      </c>
    </row>
    <row r="6" customFormat="false" ht="15" hidden="false" customHeight="false" outlineLevel="0" collapsed="false">
      <c r="A6" s="12" t="s">
        <v>792</v>
      </c>
      <c r="B6" s="13" t="n">
        <v>191000</v>
      </c>
      <c r="C6" s="12" t="s">
        <v>793</v>
      </c>
    </row>
    <row r="7" customFormat="false" ht="15" hidden="false" customHeight="false" outlineLevel="0" collapsed="false">
      <c r="A7" s="14" t="s">
        <v>794</v>
      </c>
      <c r="B7" s="15" t="n">
        <v>836</v>
      </c>
      <c r="C7" s="14" t="s">
        <v>795</v>
      </c>
    </row>
    <row r="8" customFormat="false" ht="15" hidden="false" customHeight="false" outlineLevel="0" collapsed="false">
      <c r="A8" s="12" t="s">
        <v>796</v>
      </c>
      <c r="B8" s="13" t="n">
        <v>14</v>
      </c>
      <c r="C8" s="12" t="s">
        <v>795</v>
      </c>
    </row>
    <row r="9" customFormat="false" ht="15" hidden="false" customHeight="false" outlineLevel="0" collapsed="false">
      <c r="A9" s="14" t="s">
        <v>797</v>
      </c>
      <c r="B9" s="15" t="n">
        <v>216000</v>
      </c>
      <c r="C9" s="14" t="s">
        <v>793</v>
      </c>
    </row>
    <row r="10" customFormat="false" ht="15" hidden="false" customHeight="false" outlineLevel="0" collapsed="false">
      <c r="A10" s="12" t="s">
        <v>798</v>
      </c>
      <c r="B10" s="13" t="n">
        <v>2041000</v>
      </c>
      <c r="C10" s="12" t="s">
        <v>793</v>
      </c>
    </row>
    <row r="11" customFormat="false" ht="15" hidden="false" customHeight="false" outlineLevel="0" collapsed="false">
      <c r="A11" s="14" t="s">
        <v>799</v>
      </c>
      <c r="B11" s="15" t="n">
        <v>830000</v>
      </c>
      <c r="C11" s="14" t="s">
        <v>793</v>
      </c>
    </row>
    <row r="12" customFormat="false" ht="15" hidden="false" customHeight="false" outlineLevel="0" collapsed="false">
      <c r="A12" s="12" t="s">
        <v>800</v>
      </c>
      <c r="B12" s="13" t="n">
        <v>1439000</v>
      </c>
      <c r="C12" s="12" t="s">
        <v>801</v>
      </c>
    </row>
    <row r="13" customFormat="false" ht="15" hidden="false" customHeight="false" outlineLevel="0" collapsed="false">
      <c r="A13" s="14" t="s">
        <v>802</v>
      </c>
      <c r="B13" s="15" t="n">
        <v>28748</v>
      </c>
      <c r="C13" s="14" t="s">
        <v>793</v>
      </c>
    </row>
    <row r="14" customFormat="false" ht="15" hidden="false" customHeight="true" outlineLevel="0" collapsed="false">
      <c r="A14" s="22" t="s">
        <v>803</v>
      </c>
      <c r="B14" s="22"/>
      <c r="C14" s="22"/>
      <c r="D14" s="22"/>
      <c r="E14" s="22"/>
      <c r="F14" s="22"/>
      <c r="G14" s="22"/>
      <c r="H14" s="22"/>
      <c r="I14" s="22"/>
    </row>
    <row r="16" customFormat="false" ht="15" hidden="false" customHeight="false" outlineLevel="0" collapsed="false">
      <c r="A16" s="4" t="s">
        <v>804</v>
      </c>
      <c r="B16" s="4"/>
      <c r="C16" s="4"/>
      <c r="D16" s="4"/>
      <c r="E16" s="4"/>
      <c r="F16" s="4"/>
      <c r="G16" s="4"/>
      <c r="H16" s="4"/>
      <c r="I16" s="4"/>
    </row>
    <row r="17" customFormat="false" ht="39.75" hidden="false" customHeight="true" outlineLevel="0" collapsed="false">
      <c r="A17" s="11" t="s">
        <v>495</v>
      </c>
      <c r="B17" s="11" t="s">
        <v>805</v>
      </c>
      <c r="C17" s="11" t="s">
        <v>806</v>
      </c>
      <c r="D17" s="11" t="s">
        <v>807</v>
      </c>
      <c r="E17" s="11" t="s">
        <v>808</v>
      </c>
      <c r="F17" s="11" t="s">
        <v>809</v>
      </c>
      <c r="G17" s="11" t="s">
        <v>810</v>
      </c>
      <c r="H17" s="11" t="s">
        <v>811</v>
      </c>
      <c r="I17" s="11" t="s">
        <v>812</v>
      </c>
    </row>
    <row r="18" customFormat="false" ht="15" hidden="false" customHeight="false" outlineLevel="0" collapsed="false">
      <c r="A18" s="12" t="s">
        <v>813</v>
      </c>
      <c r="B18" s="12" t="s">
        <v>814</v>
      </c>
      <c r="C18" s="13" t="n">
        <v>38601</v>
      </c>
      <c r="D18" s="13" t="n">
        <v>62000</v>
      </c>
      <c r="E18" s="13" t="n">
        <v>520000</v>
      </c>
      <c r="F18" s="54" t="n">
        <v>0.361</v>
      </c>
      <c r="G18" s="13" t="n">
        <v>600000</v>
      </c>
      <c r="H18" s="54" t="n">
        <v>0.867</v>
      </c>
      <c r="I18" s="12" t="s">
        <v>815</v>
      </c>
    </row>
    <row r="19" customFormat="false" ht="15" hidden="false" customHeight="false" outlineLevel="0" collapsed="false">
      <c r="A19" s="14" t="s">
        <v>816</v>
      </c>
      <c r="B19" s="14" t="s">
        <v>817</v>
      </c>
      <c r="C19" s="15" t="n">
        <v>10900</v>
      </c>
      <c r="D19" s="15" t="n">
        <v>9207</v>
      </c>
      <c r="E19" s="15" t="n">
        <v>339000</v>
      </c>
      <c r="F19" s="55" t="n">
        <v>0.236</v>
      </c>
      <c r="G19" s="15" t="n">
        <v>250000</v>
      </c>
      <c r="H19" s="55" t="n">
        <v>1.356</v>
      </c>
      <c r="I19" s="14" t="s">
        <v>818</v>
      </c>
    </row>
    <row r="20" customFormat="false" ht="15" hidden="false" customHeight="false" outlineLevel="0" collapsed="false">
      <c r="A20" s="12" t="s">
        <v>819</v>
      </c>
      <c r="B20" s="12" t="s">
        <v>820</v>
      </c>
      <c r="C20" s="13" t="n">
        <v>25938</v>
      </c>
      <c r="D20" s="13" t="n">
        <v>38000</v>
      </c>
      <c r="E20" s="13" t="n">
        <v>198000</v>
      </c>
      <c r="F20" s="54" t="n">
        <v>0.138</v>
      </c>
      <c r="G20" s="13" t="n">
        <v>200000</v>
      </c>
      <c r="H20" s="54" t="n">
        <v>0.99</v>
      </c>
      <c r="I20" s="12" t="s">
        <v>821</v>
      </c>
    </row>
    <row r="21" customFormat="false" ht="15" hidden="false" customHeight="false" outlineLevel="0" collapsed="false">
      <c r="A21" s="14" t="s">
        <v>822</v>
      </c>
      <c r="B21" s="14" t="s">
        <v>823</v>
      </c>
      <c r="C21" s="15" t="n">
        <v>15000</v>
      </c>
      <c r="D21" s="15" t="n">
        <v>21000</v>
      </c>
      <c r="E21" s="15" t="n">
        <v>112000</v>
      </c>
      <c r="F21" s="55" t="n">
        <v>0.078</v>
      </c>
      <c r="G21" s="15" t="n">
        <v>128000</v>
      </c>
      <c r="H21" s="55" t="n">
        <v>0.875</v>
      </c>
      <c r="I21" s="14" t="s">
        <v>824</v>
      </c>
    </row>
    <row r="22" customFormat="false" ht="15" hidden="false" customHeight="false" outlineLevel="0" collapsed="false">
      <c r="A22" s="12" t="s">
        <v>825</v>
      </c>
      <c r="B22" s="12" t="s">
        <v>826</v>
      </c>
      <c r="C22" s="13" t="n">
        <v>10683</v>
      </c>
      <c r="D22" s="13" t="n">
        <v>8400</v>
      </c>
      <c r="E22" s="13" t="n">
        <v>96000</v>
      </c>
      <c r="F22" s="54" t="n">
        <v>0.067</v>
      </c>
      <c r="G22" s="13" t="n">
        <v>75000</v>
      </c>
      <c r="H22" s="54" t="n">
        <v>1.28</v>
      </c>
      <c r="I22" s="12" t="s">
        <v>827</v>
      </c>
    </row>
    <row r="23" customFormat="false" ht="15" hidden="false" customHeight="false" outlineLevel="0" collapsed="false">
      <c r="A23" s="14" t="s">
        <v>828</v>
      </c>
      <c r="B23" s="14" t="s">
        <v>829</v>
      </c>
      <c r="C23" s="15" t="n">
        <v>12195</v>
      </c>
      <c r="D23" s="15" t="n">
        <v>9800</v>
      </c>
      <c r="E23" s="15" t="n">
        <v>41000</v>
      </c>
      <c r="F23" s="55" t="n">
        <v>0.028</v>
      </c>
      <c r="G23" s="15" t="n">
        <v>40000</v>
      </c>
      <c r="H23" s="55" t="n">
        <v>1.025</v>
      </c>
      <c r="I23" s="14" t="s">
        <v>830</v>
      </c>
    </row>
    <row r="24" customFormat="false" ht="15" hidden="false" customHeight="false" outlineLevel="0" collapsed="false">
      <c r="A24" s="12" t="s">
        <v>831</v>
      </c>
      <c r="B24" s="12" t="s">
        <v>832</v>
      </c>
      <c r="C24" s="13" t="n">
        <v>6238</v>
      </c>
      <c r="D24" s="13" t="n">
        <v>5100</v>
      </c>
      <c r="E24" s="13" t="n">
        <v>38000</v>
      </c>
      <c r="F24" s="54" t="n">
        <v>0.026</v>
      </c>
      <c r="G24" s="13" t="n">
        <v>40000</v>
      </c>
      <c r="H24" s="54" t="n">
        <v>0.95</v>
      </c>
      <c r="I24" s="12" t="s">
        <v>833</v>
      </c>
    </row>
    <row r="25" customFormat="false" ht="15" hidden="false" customHeight="false" outlineLevel="0" collapsed="false">
      <c r="A25" s="14" t="s">
        <v>146</v>
      </c>
      <c r="B25" s="14" t="s">
        <v>834</v>
      </c>
      <c r="C25" s="15" t="n">
        <v>6322</v>
      </c>
      <c r="D25" s="15" t="n">
        <v>8900</v>
      </c>
      <c r="E25" s="15" t="n">
        <v>34000</v>
      </c>
      <c r="F25" s="55" t="n">
        <v>0.024</v>
      </c>
      <c r="G25" s="15" t="n">
        <v>52500</v>
      </c>
      <c r="H25" s="55" t="n">
        <v>0.648</v>
      </c>
      <c r="I25" s="14" t="s">
        <v>835</v>
      </c>
    </row>
    <row r="26" customFormat="false" ht="15" hidden="false" customHeight="false" outlineLevel="0" collapsed="false">
      <c r="A26" s="12" t="s">
        <v>836</v>
      </c>
      <c r="B26" s="12" t="s">
        <v>837</v>
      </c>
      <c r="C26" s="13" t="n">
        <v>18100</v>
      </c>
      <c r="D26" s="13" t="n">
        <v>12500</v>
      </c>
      <c r="E26" s="13" t="n">
        <v>22000</v>
      </c>
      <c r="F26" s="54" t="n">
        <v>0.015</v>
      </c>
      <c r="G26" s="13" t="n">
        <v>45000</v>
      </c>
      <c r="H26" s="54" t="n">
        <v>0.489</v>
      </c>
      <c r="I26" s="12" t="s">
        <v>838</v>
      </c>
    </row>
    <row r="27" customFormat="false" ht="15" hidden="false" customHeight="false" outlineLevel="0" collapsed="false">
      <c r="A27" s="14" t="s">
        <v>839</v>
      </c>
      <c r="B27" s="14" t="s">
        <v>840</v>
      </c>
      <c r="C27" s="15" t="n">
        <v>24000</v>
      </c>
      <c r="D27" s="15" t="n">
        <v>17800</v>
      </c>
      <c r="E27" s="15" t="n">
        <v>29000</v>
      </c>
      <c r="F27" s="55" t="n">
        <v>0.02</v>
      </c>
      <c r="G27" s="15" t="n">
        <v>42000</v>
      </c>
      <c r="H27" s="55" t="n">
        <v>0.69</v>
      </c>
      <c r="I27" s="14" t="s">
        <v>841</v>
      </c>
    </row>
    <row r="28" customFormat="false" ht="15" hidden="false" customHeight="false" outlineLevel="0" collapsed="false">
      <c r="A28" s="12" t="s">
        <v>842</v>
      </c>
      <c r="B28" s="12" t="s">
        <v>843</v>
      </c>
      <c r="C28" s="13" t="n">
        <v>120</v>
      </c>
      <c r="D28" s="13" t="n">
        <v>310</v>
      </c>
      <c r="E28" s="13" t="n">
        <v>4200</v>
      </c>
      <c r="F28" s="54" t="n">
        <v>0.003</v>
      </c>
      <c r="G28" s="13" t="n">
        <v>6000</v>
      </c>
      <c r="H28" s="54" t="n">
        <v>0.7</v>
      </c>
      <c r="I28" s="12" t="s">
        <v>844</v>
      </c>
    </row>
    <row r="29" customFormat="false" ht="15" hidden="false" customHeight="false" outlineLevel="0" collapsed="false">
      <c r="A29" s="14" t="s">
        <v>158</v>
      </c>
      <c r="B29" s="14" t="s">
        <v>823</v>
      </c>
      <c r="C29" s="15" t="n">
        <v>3420</v>
      </c>
      <c r="D29" s="15" t="n">
        <v>4100</v>
      </c>
      <c r="E29" s="15" t="n">
        <v>11800</v>
      </c>
      <c r="F29" s="55" t="n">
        <v>0.008</v>
      </c>
      <c r="G29" s="15" t="n">
        <v>15000</v>
      </c>
      <c r="H29" s="55" t="n">
        <v>0.787</v>
      </c>
      <c r="I29" s="14" t="s">
        <v>845</v>
      </c>
    </row>
    <row r="30" customFormat="false" ht="15" hidden="false" customHeight="false" outlineLevel="0" collapsed="false">
      <c r="A30" s="12" t="s">
        <v>846</v>
      </c>
      <c r="B30" s="12" t="s">
        <v>814</v>
      </c>
      <c r="C30" s="13" t="n">
        <v>76000</v>
      </c>
      <c r="D30" s="13" t="n">
        <v>160000</v>
      </c>
      <c r="E30" s="13" t="n">
        <v>18800</v>
      </c>
      <c r="F30" s="54" t="n">
        <v>0.013</v>
      </c>
      <c r="G30" s="13" t="n">
        <v>100000</v>
      </c>
      <c r="H30" s="54" t="n">
        <v>0.188</v>
      </c>
      <c r="I30" s="12" t="s">
        <v>847</v>
      </c>
    </row>
    <row r="31" customFormat="false" ht="15" hidden="false" customHeight="false" outlineLevel="0" collapsed="false">
      <c r="A31" s="14" t="s">
        <v>848</v>
      </c>
      <c r="B31" s="14" t="s">
        <v>823</v>
      </c>
      <c r="C31" s="15" t="n">
        <v>6940</v>
      </c>
      <c r="D31" s="15" t="n">
        <v>5083</v>
      </c>
      <c r="E31" s="15" t="n">
        <v>4200</v>
      </c>
      <c r="F31" s="55" t="n">
        <v>0.003</v>
      </c>
      <c r="G31" s="15" t="n">
        <v>8000</v>
      </c>
      <c r="H31" s="55" t="n">
        <v>0.525</v>
      </c>
      <c r="I31" s="14" t="s">
        <v>849</v>
      </c>
    </row>
    <row r="32" customFormat="false" ht="15" hidden="false" customHeight="false" outlineLevel="0" collapsed="false">
      <c r="A32" s="48" t="s">
        <v>850</v>
      </c>
      <c r="B32" s="48"/>
      <c r="C32" s="49" t="n">
        <f aca="false">SUM(C18:C31)</f>
        <v>254457</v>
      </c>
      <c r="D32" s="49" t="n">
        <f aca="false">SUM(D18:D31)</f>
        <v>362200</v>
      </c>
      <c r="E32" s="49" t="n">
        <f aca="false">SUM(E18:E31)</f>
        <v>1468000</v>
      </c>
      <c r="F32" s="58" t="n">
        <f aca="false">SUM(F18:F31)</f>
        <v>1.02</v>
      </c>
      <c r="G32" s="48"/>
      <c r="H32" s="48"/>
      <c r="I32" s="48"/>
    </row>
    <row r="34" customFormat="false" ht="42" hidden="false" customHeight="true" outlineLevel="0" collapsed="false">
      <c r="A34" s="22" t="s">
        <v>851</v>
      </c>
      <c r="B34" s="22"/>
      <c r="C34" s="22"/>
      <c r="D34" s="22"/>
      <c r="E34" s="22"/>
      <c r="F34" s="22"/>
      <c r="G34" s="22"/>
      <c r="H34" s="22"/>
      <c r="I34" s="22"/>
    </row>
  </sheetData>
  <mergeCells count="7">
    <mergeCell ref="A1:I1"/>
    <mergeCell ref="A2:I2"/>
    <mergeCell ref="A4:I4"/>
    <mergeCell ref="A14:I14"/>
    <mergeCell ref="A16:I16"/>
    <mergeCell ref="A32:B32"/>
    <mergeCell ref="A34:I34"/>
  </mergeCells>
  <conditionalFormatting sqref="H18:H31">
    <cfRule type="colorScale" priority="2">
      <colorScale>
        <cfvo type="min" val="0"/>
        <cfvo type="num" val="1"/>
        <cfvo type="max" val="0"/>
        <color rgb="FFF2A6A0"/>
        <color rgb="FFFFFFFF"/>
        <color rgb="FFA8D8B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46"/>
    <col collapsed="false" customWidth="true" hidden="false" outlineLevel="0" max="9" min="7" style="0" width="10"/>
  </cols>
  <sheetData>
    <row r="1" customFormat="false" ht="25.5" hidden="false" customHeight="true" outlineLevel="0" collapsed="false">
      <c r="A1" s="1" t="s">
        <v>852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853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4" t="s">
        <v>854</v>
      </c>
      <c r="B4" s="4"/>
      <c r="C4" s="4"/>
      <c r="D4" s="4"/>
      <c r="E4" s="4"/>
      <c r="F4" s="4"/>
      <c r="G4" s="4"/>
      <c r="H4" s="4"/>
      <c r="I4" s="4"/>
    </row>
    <row r="5" customFormat="false" ht="31.5" hidden="false" customHeight="true" outlineLevel="0" collapsed="false">
      <c r="A5" s="11" t="s">
        <v>751</v>
      </c>
      <c r="B5" s="11" t="s">
        <v>855</v>
      </c>
      <c r="C5" s="11" t="s">
        <v>753</v>
      </c>
      <c r="D5" s="11" t="s">
        <v>856</v>
      </c>
      <c r="E5" s="11" t="s">
        <v>857</v>
      </c>
    </row>
    <row r="6" customFormat="false" ht="15" hidden="false" customHeight="false" outlineLevel="0" collapsed="false">
      <c r="A6" s="12" t="s">
        <v>858</v>
      </c>
      <c r="B6" s="56" t="n">
        <v>9.7</v>
      </c>
      <c r="C6" s="12"/>
      <c r="D6" s="56" t="n">
        <v>3.5</v>
      </c>
      <c r="E6" s="56" t="n">
        <v>4.7</v>
      </c>
    </row>
    <row r="7" customFormat="false" ht="15" hidden="false" customHeight="false" outlineLevel="0" collapsed="false">
      <c r="A7" s="14" t="s">
        <v>757</v>
      </c>
      <c r="B7" s="57" t="n">
        <v>14.3</v>
      </c>
      <c r="C7" s="52" t="n">
        <v>0.474</v>
      </c>
      <c r="D7" s="57" t="n">
        <v>3.6</v>
      </c>
      <c r="E7" s="57" t="n">
        <v>9.2</v>
      </c>
    </row>
    <row r="8" customFormat="false" ht="15" hidden="false" customHeight="false" outlineLevel="0" collapsed="false">
      <c r="A8" s="12" t="s">
        <v>758</v>
      </c>
      <c r="B8" s="56" t="n">
        <v>11.7</v>
      </c>
      <c r="C8" s="59" t="n">
        <v>-0.182</v>
      </c>
      <c r="D8" s="56" t="n">
        <v>4.8</v>
      </c>
      <c r="E8" s="56" t="n">
        <v>5.6</v>
      </c>
    </row>
    <row r="9" customFormat="false" ht="15" hidden="false" customHeight="true" outlineLevel="0" collapsed="false">
      <c r="A9" s="22" t="s">
        <v>859</v>
      </c>
      <c r="B9" s="22"/>
      <c r="C9" s="22"/>
      <c r="D9" s="22"/>
      <c r="E9" s="22"/>
      <c r="F9" s="22"/>
      <c r="G9" s="22"/>
      <c r="H9" s="22"/>
      <c r="I9" s="22"/>
    </row>
    <row r="11" customFormat="false" ht="15" hidden="false" customHeight="false" outlineLevel="0" collapsed="false">
      <c r="A11" s="4" t="s">
        <v>860</v>
      </c>
      <c r="B11" s="4"/>
      <c r="C11" s="4"/>
      <c r="D11" s="4"/>
      <c r="E11" s="4"/>
      <c r="F11" s="4"/>
      <c r="G11" s="4"/>
      <c r="H11" s="4"/>
      <c r="I11" s="4"/>
    </row>
    <row r="12" customFormat="false" ht="31.5" hidden="false" customHeight="true" outlineLevel="0" collapsed="false">
      <c r="A12" s="11" t="s">
        <v>495</v>
      </c>
      <c r="B12" s="11" t="s">
        <v>861</v>
      </c>
      <c r="C12" s="11" t="s">
        <v>862</v>
      </c>
      <c r="D12" s="11" t="s">
        <v>863</v>
      </c>
      <c r="E12" s="11" t="s">
        <v>864</v>
      </c>
      <c r="F12" s="11" t="s">
        <v>812</v>
      </c>
    </row>
    <row r="13" customFormat="false" ht="15" hidden="false" customHeight="false" outlineLevel="0" collapsed="false">
      <c r="A13" s="12" t="s">
        <v>865</v>
      </c>
      <c r="B13" s="50" t="n">
        <v>3.6</v>
      </c>
      <c r="C13" s="50" t="n">
        <v>3.6</v>
      </c>
      <c r="D13" s="59" t="n">
        <f aca="false">(B13-C13)/C13</f>
        <v>0</v>
      </c>
      <c r="E13" s="13" t="n">
        <v>5400</v>
      </c>
      <c r="F13" s="12" t="s">
        <v>866</v>
      </c>
    </row>
    <row r="14" customFormat="false" ht="15" hidden="false" customHeight="false" outlineLevel="0" collapsed="false">
      <c r="A14" s="14" t="s">
        <v>727</v>
      </c>
      <c r="B14" s="51" t="n">
        <v>2.4</v>
      </c>
      <c r="C14" s="51" t="n">
        <v>2.1</v>
      </c>
      <c r="D14" s="52" t="n">
        <f aca="false">(B14-C14)/C14</f>
        <v>0.142857142857143</v>
      </c>
      <c r="E14" s="15" t="n">
        <v>7200</v>
      </c>
      <c r="F14" s="14" t="s">
        <v>867</v>
      </c>
    </row>
    <row r="15" customFormat="false" ht="15" hidden="false" customHeight="false" outlineLevel="0" collapsed="false">
      <c r="A15" s="12" t="s">
        <v>868</v>
      </c>
      <c r="B15" s="50" t="n">
        <v>1.6</v>
      </c>
      <c r="C15" s="50" t="n">
        <v>1.1</v>
      </c>
      <c r="D15" s="59" t="n">
        <f aca="false">(B15-C15)/C15</f>
        <v>0.454545454545455</v>
      </c>
      <c r="E15" s="13" t="n">
        <v>1900</v>
      </c>
      <c r="F15" s="12" t="s">
        <v>869</v>
      </c>
    </row>
    <row r="16" customFormat="false" ht="15" hidden="false" customHeight="false" outlineLevel="0" collapsed="false">
      <c r="A16" s="14" t="s">
        <v>697</v>
      </c>
      <c r="B16" s="51" t="n">
        <v>1.6</v>
      </c>
      <c r="C16" s="51" t="n">
        <v>1.2</v>
      </c>
      <c r="D16" s="52" t="n">
        <f aca="false">(B16-C16)/C16</f>
        <v>0.333333333333334</v>
      </c>
      <c r="E16" s="15" t="n">
        <v>4800</v>
      </c>
      <c r="F16" s="14" t="s">
        <v>870</v>
      </c>
    </row>
    <row r="17" customFormat="false" ht="15" hidden="false" customHeight="false" outlineLevel="0" collapsed="false">
      <c r="A17" s="12" t="s">
        <v>871</v>
      </c>
      <c r="B17" s="50" t="n">
        <v>0.6</v>
      </c>
      <c r="C17" s="50" t="n">
        <v>0.5</v>
      </c>
      <c r="D17" s="59" t="n">
        <f aca="false">(B17-C17)/C17</f>
        <v>0.2</v>
      </c>
      <c r="E17" s="13" t="n">
        <v>2400</v>
      </c>
      <c r="F17" s="12" t="s">
        <v>872</v>
      </c>
    </row>
    <row r="18" customFormat="false" ht="15" hidden="false" customHeight="false" outlineLevel="0" collapsed="false">
      <c r="A18" s="14" t="s">
        <v>873</v>
      </c>
      <c r="B18" s="51" t="n">
        <v>0.5</v>
      </c>
      <c r="C18" s="51" t="n">
        <v>0.6</v>
      </c>
      <c r="D18" s="52" t="n">
        <f aca="false">(B18-C18)/C18</f>
        <v>-0.166666666666667</v>
      </c>
      <c r="E18" s="15" t="n">
        <v>2200</v>
      </c>
      <c r="F18" s="14" t="s">
        <v>874</v>
      </c>
    </row>
    <row r="19" customFormat="false" ht="15" hidden="false" customHeight="false" outlineLevel="0" collapsed="false">
      <c r="A19" s="12" t="s">
        <v>262</v>
      </c>
      <c r="B19" s="50" t="n">
        <v>0.3</v>
      </c>
      <c r="C19" s="50" t="n">
        <v>0.25</v>
      </c>
      <c r="D19" s="59" t="n">
        <f aca="false">(B19-C19)/C19</f>
        <v>0.2</v>
      </c>
      <c r="E19" s="13" t="n">
        <v>1100</v>
      </c>
      <c r="F19" s="12" t="s">
        <v>875</v>
      </c>
    </row>
    <row r="20" customFormat="false" ht="15" hidden="false" customHeight="false" outlineLevel="0" collapsed="false">
      <c r="A20" s="14" t="s">
        <v>876</v>
      </c>
      <c r="B20" s="51" t="n">
        <v>1.1</v>
      </c>
      <c r="C20" s="51" t="n">
        <v>5.05</v>
      </c>
      <c r="D20" s="52" t="n">
        <f aca="false">(B20-C20)/C20</f>
        <v>-0.782178217821782</v>
      </c>
      <c r="E20" s="15" t="n">
        <v>1800</v>
      </c>
      <c r="F20" s="14" t="s">
        <v>877</v>
      </c>
    </row>
    <row r="23" customFormat="false" ht="15" hidden="false" customHeight="false" outlineLevel="0" collapsed="false">
      <c r="A23" s="4" t="s">
        <v>878</v>
      </c>
      <c r="B23" s="4"/>
      <c r="C23" s="4"/>
      <c r="D23" s="4"/>
      <c r="E23" s="4"/>
      <c r="F23" s="4"/>
      <c r="G23" s="4"/>
      <c r="H23" s="4"/>
      <c r="I23" s="4"/>
    </row>
    <row r="24" customFormat="false" ht="31.5" hidden="false" customHeight="true" outlineLevel="0" collapsed="false">
      <c r="A24" s="11" t="s">
        <v>879</v>
      </c>
      <c r="B24" s="11" t="s">
        <v>880</v>
      </c>
      <c r="C24" s="11" t="s">
        <v>881</v>
      </c>
      <c r="D24" s="11" t="s">
        <v>780</v>
      </c>
      <c r="E24" s="11" t="s">
        <v>882</v>
      </c>
      <c r="F24" s="11" t="s">
        <v>812</v>
      </c>
    </row>
    <row r="25" customFormat="false" ht="15" hidden="false" customHeight="false" outlineLevel="0" collapsed="false">
      <c r="A25" s="12" t="s">
        <v>290</v>
      </c>
      <c r="B25" s="12" t="n">
        <v>36</v>
      </c>
      <c r="C25" s="56" t="n">
        <v>1640</v>
      </c>
      <c r="D25" s="54" t="n">
        <v>0.424</v>
      </c>
      <c r="E25" s="56" t="n">
        <f aca="false">C25/B25</f>
        <v>45.5555555555556</v>
      </c>
      <c r="F25" s="12" t="s">
        <v>883</v>
      </c>
    </row>
    <row r="26" customFormat="false" ht="15" hidden="false" customHeight="false" outlineLevel="0" collapsed="false">
      <c r="A26" s="14" t="s">
        <v>298</v>
      </c>
      <c r="B26" s="14" t="n">
        <v>166</v>
      </c>
      <c r="C26" s="57" t="n">
        <v>1210</v>
      </c>
      <c r="D26" s="55" t="n">
        <v>0.312</v>
      </c>
      <c r="E26" s="57" t="n">
        <f aca="false">C26/B26</f>
        <v>7.28915662650602</v>
      </c>
      <c r="F26" s="14" t="s">
        <v>884</v>
      </c>
    </row>
    <row r="27" customFormat="false" ht="15" hidden="false" customHeight="false" outlineLevel="0" collapsed="false">
      <c r="A27" s="12" t="s">
        <v>86</v>
      </c>
      <c r="B27" s="12" t="n">
        <v>89</v>
      </c>
      <c r="C27" s="56" t="n">
        <v>631.6</v>
      </c>
      <c r="D27" s="54" t="n">
        <v>0.163</v>
      </c>
      <c r="E27" s="56" t="n">
        <f aca="false">C27/B27</f>
        <v>7.09662921348315</v>
      </c>
      <c r="F27" s="12" t="s">
        <v>885</v>
      </c>
    </row>
    <row r="28" customFormat="false" ht="15" hidden="false" customHeight="false" outlineLevel="0" collapsed="false">
      <c r="A28" s="14" t="s">
        <v>310</v>
      </c>
      <c r="B28" s="14" t="n">
        <v>11</v>
      </c>
      <c r="C28" s="57" t="n">
        <v>125.7</v>
      </c>
      <c r="D28" s="55" t="n">
        <v>0.0324</v>
      </c>
      <c r="E28" s="57" t="n">
        <f aca="false">C28/B28</f>
        <v>11.4272727272727</v>
      </c>
      <c r="F28" s="14" t="s">
        <v>886</v>
      </c>
    </row>
    <row r="29" customFormat="false" ht="15" hidden="false" customHeight="false" outlineLevel="0" collapsed="false">
      <c r="A29" s="12" t="s">
        <v>325</v>
      </c>
      <c r="B29" s="12" t="n">
        <v>16</v>
      </c>
      <c r="C29" s="56" t="n">
        <v>79.5</v>
      </c>
      <c r="D29" s="54" t="n">
        <v>0.0205</v>
      </c>
      <c r="E29" s="56" t="n">
        <f aca="false">C29/B29</f>
        <v>4.96875</v>
      </c>
      <c r="F29" s="12" t="s">
        <v>887</v>
      </c>
    </row>
    <row r="30" customFormat="false" ht="15" hidden="false" customHeight="false" outlineLevel="0" collapsed="false">
      <c r="A30" s="14" t="s">
        <v>888</v>
      </c>
      <c r="B30" s="14" t="n">
        <v>73</v>
      </c>
      <c r="C30" s="57" t="n">
        <v>176.2</v>
      </c>
      <c r="D30" s="55" t="n">
        <v>0.0481</v>
      </c>
      <c r="E30" s="57" t="n">
        <f aca="false">C30/B30</f>
        <v>2.41369863013699</v>
      </c>
      <c r="F30" s="14" t="s">
        <v>889</v>
      </c>
    </row>
    <row r="31" customFormat="false" ht="15" hidden="false" customHeight="true" outlineLevel="0" collapsed="false">
      <c r="A31" s="22" t="s">
        <v>890</v>
      </c>
      <c r="B31" s="22"/>
      <c r="C31" s="22"/>
      <c r="D31" s="22"/>
      <c r="E31" s="22"/>
      <c r="F31" s="22"/>
      <c r="G31" s="22"/>
      <c r="H31" s="22"/>
      <c r="I31" s="22"/>
    </row>
  </sheetData>
  <mergeCells count="7">
    <mergeCell ref="A1:I1"/>
    <mergeCell ref="A2:I2"/>
    <mergeCell ref="A4:I4"/>
    <mergeCell ref="A9:I9"/>
    <mergeCell ref="A11:I11"/>
    <mergeCell ref="A23:I23"/>
    <mergeCell ref="A31:I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5" min="3" style="0" width="13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2" min="11" style="0" width="11"/>
    <col collapsed="false" customWidth="true" hidden="false" outlineLevel="0" max="13" min="13" style="0" width="30"/>
    <col collapsed="false" customWidth="true" hidden="false" outlineLevel="0" max="14" min="14" style="0" width="32"/>
    <col collapsed="false" customWidth="true" hidden="false" outlineLevel="0" max="15" min="15" style="0" width="10"/>
    <col collapsed="false" customWidth="true" hidden="false" outlineLevel="0" max="16" min="16" style="0" width="32"/>
  </cols>
  <sheetData>
    <row r="1" customFormat="false" ht="25.5" hidden="false" customHeight="true" outlineLevel="0" collapsed="false">
      <c r="A1" s="1" t="s">
        <v>891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true" outlineLevel="0" collapsed="false">
      <c r="A2" s="2" t="s">
        <v>892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49.5" hidden="false" customHeight="true" outlineLevel="0" collapsed="false">
      <c r="A4" s="11" t="s">
        <v>495</v>
      </c>
      <c r="B4" s="11" t="s">
        <v>78</v>
      </c>
      <c r="C4" s="11" t="s">
        <v>893</v>
      </c>
      <c r="D4" s="11" t="s">
        <v>894</v>
      </c>
      <c r="E4" s="11" t="s">
        <v>895</v>
      </c>
      <c r="F4" s="11" t="s">
        <v>896</v>
      </c>
      <c r="G4" s="11" t="s">
        <v>897</v>
      </c>
      <c r="H4" s="11" t="s">
        <v>898</v>
      </c>
      <c r="I4" s="11" t="s">
        <v>899</v>
      </c>
      <c r="J4" s="11" t="s">
        <v>900</v>
      </c>
      <c r="K4" s="11" t="s">
        <v>901</v>
      </c>
      <c r="L4" s="11" t="s">
        <v>902</v>
      </c>
      <c r="M4" s="11" t="s">
        <v>903</v>
      </c>
      <c r="N4" s="11" t="s">
        <v>904</v>
      </c>
      <c r="O4" s="11" t="s">
        <v>905</v>
      </c>
      <c r="P4" s="11" t="s">
        <v>505</v>
      </c>
    </row>
    <row r="5" customFormat="false" ht="15" hidden="false" customHeight="false" outlineLevel="0" collapsed="false">
      <c r="A5" s="12" t="s">
        <v>124</v>
      </c>
      <c r="B5" s="12" t="s">
        <v>81</v>
      </c>
      <c r="C5" s="13" t="n">
        <v>18500</v>
      </c>
      <c r="D5" s="13" t="n">
        <v>9200</v>
      </c>
      <c r="E5" s="13" t="n">
        <v>27700</v>
      </c>
      <c r="F5" s="13" t="n">
        <v>19800</v>
      </c>
      <c r="G5" s="13" t="n">
        <v>7900</v>
      </c>
      <c r="H5" s="59" t="n">
        <v>0.285</v>
      </c>
      <c r="I5" s="60" t="s">
        <v>906</v>
      </c>
      <c r="J5" s="13" t="n">
        <v>62</v>
      </c>
      <c r="K5" s="61" t="n">
        <v>4.2</v>
      </c>
      <c r="L5" s="62" t="n">
        <v>9</v>
      </c>
      <c r="M5" s="12" t="s">
        <v>907</v>
      </c>
      <c r="N5" s="12" t="s">
        <v>908</v>
      </c>
      <c r="O5" s="12" t="s">
        <v>513</v>
      </c>
      <c r="P5" s="12" t="s">
        <v>909</v>
      </c>
    </row>
    <row r="6" customFormat="false" ht="15" hidden="false" customHeight="false" outlineLevel="0" collapsed="false">
      <c r="A6" s="14" t="s">
        <v>124</v>
      </c>
      <c r="B6" s="14" t="s">
        <v>83</v>
      </c>
      <c r="C6" s="15" t="n">
        <v>16200</v>
      </c>
      <c r="D6" s="15" t="n">
        <v>7800</v>
      </c>
      <c r="E6" s="15" t="n">
        <v>24000</v>
      </c>
      <c r="F6" s="15" t="n">
        <v>21500</v>
      </c>
      <c r="G6" s="15" t="n">
        <v>2500</v>
      </c>
      <c r="H6" s="52" t="n">
        <v>0.104</v>
      </c>
      <c r="I6" s="14" t="s">
        <v>910</v>
      </c>
      <c r="J6" s="15" t="n">
        <v>55</v>
      </c>
      <c r="K6" s="63" t="n">
        <v>4.5</v>
      </c>
      <c r="L6" s="64" t="n">
        <v>9</v>
      </c>
      <c r="M6" s="14" t="s">
        <v>911</v>
      </c>
      <c r="N6" s="14" t="s">
        <v>912</v>
      </c>
      <c r="O6" s="14" t="s">
        <v>513</v>
      </c>
      <c r="P6" s="14" t="s">
        <v>913</v>
      </c>
    </row>
    <row r="7" customFormat="false" ht="15" hidden="false" customHeight="false" outlineLevel="0" collapsed="false">
      <c r="A7" s="12" t="s">
        <v>128</v>
      </c>
      <c r="B7" s="12" t="s">
        <v>81</v>
      </c>
      <c r="C7" s="13" t="n">
        <v>6100</v>
      </c>
      <c r="D7" s="13" t="n">
        <v>5200</v>
      </c>
      <c r="E7" s="13" t="n">
        <v>11300</v>
      </c>
      <c r="F7" s="13" t="n">
        <v>3100</v>
      </c>
      <c r="G7" s="13" t="n">
        <v>8200</v>
      </c>
      <c r="H7" s="59" t="n">
        <v>0.726</v>
      </c>
      <c r="I7" s="47" t="s">
        <v>914</v>
      </c>
      <c r="J7" s="13" t="n">
        <v>95</v>
      </c>
      <c r="K7" s="61" t="n">
        <v>9.8</v>
      </c>
      <c r="L7" s="62" t="n">
        <v>15</v>
      </c>
      <c r="M7" s="12" t="s">
        <v>915</v>
      </c>
      <c r="N7" s="12" t="s">
        <v>916</v>
      </c>
      <c r="O7" s="12" t="s">
        <v>527</v>
      </c>
      <c r="P7" s="12" t="s">
        <v>917</v>
      </c>
    </row>
    <row r="8" customFormat="false" ht="15" hidden="false" customHeight="false" outlineLevel="0" collapsed="false">
      <c r="A8" s="14" t="s">
        <v>128</v>
      </c>
      <c r="B8" s="14" t="s">
        <v>331</v>
      </c>
      <c r="C8" s="15" t="n">
        <v>2200</v>
      </c>
      <c r="D8" s="15" t="n">
        <v>2000</v>
      </c>
      <c r="E8" s="15" t="n">
        <v>4200</v>
      </c>
      <c r="F8" s="15" t="n">
        <v>1400</v>
      </c>
      <c r="G8" s="15" t="n">
        <v>2800</v>
      </c>
      <c r="H8" s="52" t="n">
        <v>0.667</v>
      </c>
      <c r="I8" s="14" t="s">
        <v>914</v>
      </c>
      <c r="J8" s="15" t="n">
        <v>110</v>
      </c>
      <c r="K8" s="63" t="n">
        <v>9.2</v>
      </c>
      <c r="L8" s="64" t="n">
        <v>18</v>
      </c>
      <c r="M8" s="14" t="s">
        <v>918</v>
      </c>
      <c r="N8" s="14" t="s">
        <v>919</v>
      </c>
      <c r="O8" s="14" t="s">
        <v>527</v>
      </c>
      <c r="P8" s="14" t="s">
        <v>920</v>
      </c>
    </row>
    <row r="9" customFormat="false" ht="15" hidden="false" customHeight="false" outlineLevel="0" collapsed="false">
      <c r="A9" s="12" t="s">
        <v>921</v>
      </c>
      <c r="B9" s="12" t="s">
        <v>84</v>
      </c>
      <c r="C9" s="13" t="n">
        <v>14800</v>
      </c>
      <c r="D9" s="13" t="n">
        <v>6900</v>
      </c>
      <c r="E9" s="13" t="n">
        <v>21700</v>
      </c>
      <c r="F9" s="13" t="n">
        <v>18200</v>
      </c>
      <c r="G9" s="13" t="n">
        <v>3500</v>
      </c>
      <c r="H9" s="59" t="n">
        <v>0.161</v>
      </c>
      <c r="I9" s="46" t="s">
        <v>910</v>
      </c>
      <c r="J9" s="13" t="n">
        <v>58</v>
      </c>
      <c r="K9" s="61" t="n">
        <v>5.1</v>
      </c>
      <c r="L9" s="62" t="n">
        <v>12</v>
      </c>
      <c r="M9" s="12" t="s">
        <v>922</v>
      </c>
      <c r="N9" s="12" t="s">
        <v>923</v>
      </c>
      <c r="O9" s="12" t="s">
        <v>513</v>
      </c>
      <c r="P9" s="12" t="s">
        <v>924</v>
      </c>
    </row>
    <row r="10" customFormat="false" ht="15" hidden="false" customHeight="false" outlineLevel="0" collapsed="false">
      <c r="A10" s="14" t="s">
        <v>921</v>
      </c>
      <c r="B10" s="14" t="s">
        <v>83</v>
      </c>
      <c r="C10" s="15" t="n">
        <v>19200</v>
      </c>
      <c r="D10" s="15" t="n">
        <v>8100</v>
      </c>
      <c r="E10" s="15" t="n">
        <v>27300</v>
      </c>
      <c r="F10" s="15" t="n">
        <v>24600</v>
      </c>
      <c r="G10" s="15" t="n">
        <v>2700</v>
      </c>
      <c r="H10" s="52" t="n">
        <v>0.099</v>
      </c>
      <c r="I10" s="14" t="s">
        <v>910</v>
      </c>
      <c r="J10" s="15" t="n">
        <v>51</v>
      </c>
      <c r="K10" s="63" t="n">
        <v>4.8</v>
      </c>
      <c r="L10" s="64" t="n">
        <v>9</v>
      </c>
      <c r="M10" s="14" t="s">
        <v>925</v>
      </c>
      <c r="N10" s="14" t="s">
        <v>926</v>
      </c>
      <c r="O10" s="14" t="s">
        <v>513</v>
      </c>
      <c r="P10" s="14" t="s">
        <v>927</v>
      </c>
    </row>
    <row r="11" customFormat="false" ht="15" hidden="false" customHeight="false" outlineLevel="0" collapsed="false">
      <c r="A11" s="12" t="s">
        <v>921</v>
      </c>
      <c r="B11" s="12" t="s">
        <v>85</v>
      </c>
      <c r="C11" s="13" t="n">
        <v>21500</v>
      </c>
      <c r="D11" s="13" t="n">
        <v>11200</v>
      </c>
      <c r="E11" s="13" t="n">
        <v>32700</v>
      </c>
      <c r="F11" s="13" t="n">
        <v>29800</v>
      </c>
      <c r="G11" s="13" t="n">
        <v>2900</v>
      </c>
      <c r="H11" s="59" t="n">
        <v>0.089</v>
      </c>
      <c r="I11" s="46" t="s">
        <v>910</v>
      </c>
      <c r="J11" s="13" t="n">
        <v>49</v>
      </c>
      <c r="K11" s="61" t="n">
        <v>5.4</v>
      </c>
      <c r="L11" s="62" t="n">
        <v>7</v>
      </c>
      <c r="M11" s="12" t="s">
        <v>928</v>
      </c>
      <c r="N11" s="12" t="s">
        <v>929</v>
      </c>
      <c r="O11" s="12" t="s">
        <v>513</v>
      </c>
      <c r="P11" s="12" t="s">
        <v>930</v>
      </c>
    </row>
    <row r="12" customFormat="false" ht="15" hidden="false" customHeight="false" outlineLevel="0" collapsed="false">
      <c r="A12" s="14" t="s">
        <v>931</v>
      </c>
      <c r="B12" s="14" t="s">
        <v>324</v>
      </c>
      <c r="C12" s="15" t="n">
        <v>9800</v>
      </c>
      <c r="D12" s="15" t="n">
        <v>3200</v>
      </c>
      <c r="E12" s="15" t="n">
        <v>13000</v>
      </c>
      <c r="F12" s="15" t="n">
        <v>12100</v>
      </c>
      <c r="G12" s="15" t="n">
        <v>900</v>
      </c>
      <c r="H12" s="52" t="n">
        <v>0.069</v>
      </c>
      <c r="I12" s="14" t="s">
        <v>932</v>
      </c>
      <c r="J12" s="15" t="n">
        <v>44</v>
      </c>
      <c r="K12" s="63" t="n">
        <v>6.2</v>
      </c>
      <c r="L12" s="64" t="n">
        <v>5</v>
      </c>
      <c r="M12" s="14" t="s">
        <v>933</v>
      </c>
      <c r="N12" s="14" t="s">
        <v>934</v>
      </c>
      <c r="O12" s="14" t="s">
        <v>513</v>
      </c>
      <c r="P12" s="14" t="s">
        <v>935</v>
      </c>
    </row>
    <row r="13" customFormat="false" ht="15" hidden="false" customHeight="false" outlineLevel="0" collapsed="false">
      <c r="A13" s="12" t="s">
        <v>140</v>
      </c>
      <c r="B13" s="12" t="s">
        <v>936</v>
      </c>
      <c r="C13" s="13" t="n">
        <v>28400</v>
      </c>
      <c r="D13" s="13" t="n">
        <v>15600</v>
      </c>
      <c r="E13" s="13" t="n">
        <v>44000</v>
      </c>
      <c r="F13" s="13" t="n">
        <v>41200</v>
      </c>
      <c r="G13" s="13" t="n">
        <v>2800</v>
      </c>
      <c r="H13" s="59" t="n">
        <v>0.064</v>
      </c>
      <c r="I13" s="65" t="s">
        <v>932</v>
      </c>
      <c r="J13" s="13" t="n">
        <v>38</v>
      </c>
      <c r="K13" s="61" t="n">
        <v>3.1</v>
      </c>
      <c r="L13" s="62" t="n">
        <v>8</v>
      </c>
      <c r="M13" s="12" t="s">
        <v>937</v>
      </c>
      <c r="N13" s="12" t="s">
        <v>938</v>
      </c>
      <c r="O13" s="12" t="s">
        <v>513</v>
      </c>
      <c r="P13" s="12" t="s">
        <v>939</v>
      </c>
    </row>
    <row r="14" customFormat="false" ht="15" hidden="false" customHeight="false" outlineLevel="0" collapsed="false">
      <c r="A14" s="14" t="s">
        <v>940</v>
      </c>
      <c r="B14" s="14" t="s">
        <v>83</v>
      </c>
      <c r="C14" s="15" t="n">
        <v>24600</v>
      </c>
      <c r="D14" s="15" t="n">
        <v>9800</v>
      </c>
      <c r="E14" s="15" t="n">
        <v>34400</v>
      </c>
      <c r="F14" s="15" t="n">
        <v>33100</v>
      </c>
      <c r="G14" s="15" t="n">
        <v>1300</v>
      </c>
      <c r="H14" s="52" t="n">
        <v>0.038</v>
      </c>
      <c r="I14" s="14" t="s">
        <v>932</v>
      </c>
      <c r="J14" s="15" t="n">
        <v>35</v>
      </c>
      <c r="K14" s="63" t="n">
        <v>2.8</v>
      </c>
      <c r="L14" s="64" t="n">
        <v>3</v>
      </c>
      <c r="M14" s="14" t="s">
        <v>941</v>
      </c>
      <c r="N14" s="14" t="s">
        <v>942</v>
      </c>
      <c r="O14" s="14" t="s">
        <v>513</v>
      </c>
      <c r="P14" s="14" t="s">
        <v>943</v>
      </c>
    </row>
    <row r="15" customFormat="false" ht="15" hidden="false" customHeight="false" outlineLevel="0" collapsed="false">
      <c r="A15" s="12" t="s">
        <v>944</v>
      </c>
      <c r="B15" s="12" t="s">
        <v>84</v>
      </c>
      <c r="C15" s="13" t="n">
        <v>42000</v>
      </c>
      <c r="D15" s="13" t="n">
        <v>12400</v>
      </c>
      <c r="E15" s="13" t="n">
        <v>54400</v>
      </c>
      <c r="F15" s="13" t="n">
        <v>58600</v>
      </c>
      <c r="G15" s="13" t="n">
        <v>-4200</v>
      </c>
      <c r="H15" s="59" t="n">
        <v>-0.077</v>
      </c>
      <c r="I15" s="66" t="s">
        <v>945</v>
      </c>
      <c r="J15" s="13" t="n">
        <v>33</v>
      </c>
      <c r="K15" s="61" t="n">
        <v>9.5</v>
      </c>
      <c r="L15" s="62" t="n">
        <v>1</v>
      </c>
      <c r="M15" s="12" t="s">
        <v>946</v>
      </c>
      <c r="N15" s="12" t="s">
        <v>947</v>
      </c>
      <c r="O15" s="12" t="s">
        <v>513</v>
      </c>
      <c r="P15" s="12" t="s">
        <v>948</v>
      </c>
    </row>
    <row r="16" customFormat="false" ht="15" hidden="false" customHeight="false" outlineLevel="0" collapsed="false">
      <c r="A16" s="14" t="s">
        <v>944</v>
      </c>
      <c r="B16" s="14" t="s">
        <v>85</v>
      </c>
      <c r="C16" s="15" t="n">
        <v>36500</v>
      </c>
      <c r="D16" s="15" t="n">
        <v>9800</v>
      </c>
      <c r="E16" s="15" t="n">
        <v>46300</v>
      </c>
      <c r="F16" s="15" t="n">
        <v>49200</v>
      </c>
      <c r="G16" s="15" t="n">
        <v>-2900</v>
      </c>
      <c r="H16" s="52" t="n">
        <v>-0.063</v>
      </c>
      <c r="I16" s="14" t="s">
        <v>945</v>
      </c>
      <c r="J16" s="15" t="n">
        <v>31</v>
      </c>
      <c r="K16" s="63" t="n">
        <v>9.1</v>
      </c>
      <c r="L16" s="64" t="n">
        <v>1</v>
      </c>
      <c r="M16" s="14" t="s">
        <v>949</v>
      </c>
      <c r="N16" s="14" t="s">
        <v>950</v>
      </c>
      <c r="O16" s="14" t="s">
        <v>513</v>
      </c>
      <c r="P16" s="14" t="s">
        <v>951</v>
      </c>
    </row>
    <row r="17" customFormat="false" ht="15" hidden="false" customHeight="false" outlineLevel="0" collapsed="false">
      <c r="A17" s="12" t="s">
        <v>189</v>
      </c>
      <c r="B17" s="12" t="s">
        <v>84</v>
      </c>
      <c r="C17" s="13" t="n">
        <v>11200</v>
      </c>
      <c r="D17" s="13" t="n">
        <v>8900</v>
      </c>
      <c r="E17" s="13" t="n">
        <v>20100</v>
      </c>
      <c r="F17" s="13" t="n">
        <v>9800</v>
      </c>
      <c r="G17" s="13" t="n">
        <v>10300</v>
      </c>
      <c r="H17" s="59" t="n">
        <v>0.512</v>
      </c>
      <c r="I17" s="47" t="s">
        <v>914</v>
      </c>
      <c r="J17" s="13" t="n">
        <v>71</v>
      </c>
      <c r="K17" s="61" t="n">
        <v>18.5</v>
      </c>
      <c r="L17" s="62" t="n">
        <v>45</v>
      </c>
      <c r="M17" s="12" t="s">
        <v>952</v>
      </c>
      <c r="N17" s="12" t="s">
        <v>953</v>
      </c>
      <c r="O17" s="12" t="s">
        <v>513</v>
      </c>
      <c r="P17" s="12" t="s">
        <v>954</v>
      </c>
    </row>
    <row r="18" customFormat="false" ht="15" hidden="false" customHeight="false" outlineLevel="0" collapsed="false">
      <c r="A18" s="14" t="s">
        <v>189</v>
      </c>
      <c r="B18" s="14" t="s">
        <v>316</v>
      </c>
      <c r="C18" s="15" t="n">
        <v>9800</v>
      </c>
      <c r="D18" s="15" t="n">
        <v>7100</v>
      </c>
      <c r="E18" s="15" t="n">
        <v>16900</v>
      </c>
      <c r="F18" s="15" t="n">
        <v>8200</v>
      </c>
      <c r="G18" s="15" t="n">
        <v>8700</v>
      </c>
      <c r="H18" s="52" t="n">
        <v>0.515</v>
      </c>
      <c r="I18" s="14" t="s">
        <v>914</v>
      </c>
      <c r="J18" s="15" t="n">
        <v>69</v>
      </c>
      <c r="K18" s="63" t="n">
        <v>17.8</v>
      </c>
      <c r="L18" s="64" t="n">
        <v>35</v>
      </c>
      <c r="M18" s="14" t="s">
        <v>955</v>
      </c>
      <c r="N18" s="14" t="s">
        <v>956</v>
      </c>
      <c r="O18" s="14" t="s">
        <v>513</v>
      </c>
      <c r="P18" s="14" t="s">
        <v>957</v>
      </c>
    </row>
    <row r="19" customFormat="false" ht="15" hidden="false" customHeight="false" outlineLevel="0" collapsed="false">
      <c r="A19" s="12" t="s">
        <v>200</v>
      </c>
      <c r="B19" s="12" t="s">
        <v>85</v>
      </c>
      <c r="C19" s="13" t="n">
        <v>8600</v>
      </c>
      <c r="D19" s="13" t="n">
        <v>4200</v>
      </c>
      <c r="E19" s="13" t="n">
        <v>12800</v>
      </c>
      <c r="F19" s="13" t="n">
        <v>11900</v>
      </c>
      <c r="G19" s="13" t="n">
        <v>900</v>
      </c>
      <c r="H19" s="59" t="n">
        <v>0.07</v>
      </c>
      <c r="I19" s="65" t="s">
        <v>932</v>
      </c>
      <c r="J19" s="13" t="n">
        <v>40</v>
      </c>
      <c r="K19" s="61" t="n">
        <v>12.4</v>
      </c>
      <c r="L19" s="62" t="n">
        <v>14</v>
      </c>
      <c r="M19" s="12" t="s">
        <v>958</v>
      </c>
      <c r="N19" s="12" t="s">
        <v>959</v>
      </c>
      <c r="O19" s="12" t="s">
        <v>527</v>
      </c>
      <c r="P19" s="12" t="s">
        <v>960</v>
      </c>
    </row>
    <row r="20" customFormat="false" ht="15" hidden="false" customHeight="false" outlineLevel="0" collapsed="false">
      <c r="A20" s="14" t="s">
        <v>961</v>
      </c>
      <c r="B20" s="14" t="s">
        <v>962</v>
      </c>
      <c r="C20" s="15" t="n">
        <v>18900</v>
      </c>
      <c r="D20" s="15" t="n">
        <v>-2800</v>
      </c>
      <c r="E20" s="15" t="n">
        <v>16100</v>
      </c>
      <c r="F20" s="15" t="n">
        <v>21400</v>
      </c>
      <c r="G20" s="15" t="n">
        <v>-5300</v>
      </c>
      <c r="H20" s="52" t="n">
        <v>-0.329</v>
      </c>
      <c r="I20" s="14" t="s">
        <v>945</v>
      </c>
      <c r="J20" s="15" t="n">
        <v>36</v>
      </c>
      <c r="K20" s="63" t="n">
        <v>8.9</v>
      </c>
      <c r="L20" s="64" t="n">
        <v>-15</v>
      </c>
      <c r="M20" s="14" t="s">
        <v>963</v>
      </c>
      <c r="N20" s="14" t="s">
        <v>964</v>
      </c>
      <c r="O20" s="14" t="s">
        <v>513</v>
      </c>
      <c r="P20" s="14" t="s">
        <v>965</v>
      </c>
    </row>
    <row r="21" customFormat="false" ht="15" hidden="false" customHeight="false" outlineLevel="0" collapsed="false">
      <c r="A21" s="12" t="s">
        <v>228</v>
      </c>
      <c r="B21" s="12" t="s">
        <v>966</v>
      </c>
      <c r="C21" s="13" t="n">
        <v>22400</v>
      </c>
      <c r="D21" s="13" t="n">
        <v>6100</v>
      </c>
      <c r="E21" s="13" t="n">
        <v>28500</v>
      </c>
      <c r="F21" s="13" t="n">
        <v>24900</v>
      </c>
      <c r="G21" s="13" t="n">
        <v>3600</v>
      </c>
      <c r="H21" s="59" t="n">
        <v>0.126</v>
      </c>
      <c r="I21" s="46" t="s">
        <v>910</v>
      </c>
      <c r="J21" s="13" t="n">
        <v>30</v>
      </c>
      <c r="K21" s="61" t="n">
        <v>3.8</v>
      </c>
      <c r="L21" s="62" t="n">
        <v>21</v>
      </c>
      <c r="M21" s="12" t="s">
        <v>967</v>
      </c>
      <c r="N21" s="12" t="s">
        <v>968</v>
      </c>
      <c r="O21" s="12" t="s">
        <v>513</v>
      </c>
      <c r="P21" s="12" t="s">
        <v>969</v>
      </c>
    </row>
    <row r="22" customFormat="false" ht="15" hidden="false" customHeight="false" outlineLevel="0" collapsed="false">
      <c r="A22" s="14" t="s">
        <v>970</v>
      </c>
      <c r="B22" s="14" t="s">
        <v>971</v>
      </c>
      <c r="C22" s="15" t="n">
        <v>31200</v>
      </c>
      <c r="D22" s="15" t="n">
        <v>9800</v>
      </c>
      <c r="E22" s="15" t="n">
        <v>41000</v>
      </c>
      <c r="F22" s="15" t="n">
        <v>38600</v>
      </c>
      <c r="G22" s="15" t="n">
        <v>2400</v>
      </c>
      <c r="H22" s="52" t="n">
        <v>0.059</v>
      </c>
      <c r="I22" s="14" t="s">
        <v>932</v>
      </c>
      <c r="J22" s="15" t="n">
        <v>28</v>
      </c>
      <c r="K22" s="63" t="n">
        <v>3.4</v>
      </c>
      <c r="L22" s="64" t="n">
        <v>18</v>
      </c>
      <c r="M22" s="14" t="s">
        <v>972</v>
      </c>
      <c r="N22" s="14" t="s">
        <v>973</v>
      </c>
      <c r="O22" s="14" t="s">
        <v>513</v>
      </c>
      <c r="P22" s="14" t="s">
        <v>974</v>
      </c>
    </row>
    <row r="23" customFormat="false" ht="15" hidden="false" customHeight="false" outlineLevel="0" collapsed="false">
      <c r="A23" s="12" t="s">
        <v>234</v>
      </c>
      <c r="B23" s="12" t="s">
        <v>962</v>
      </c>
      <c r="C23" s="13" t="n">
        <v>14600</v>
      </c>
      <c r="D23" s="13" t="n">
        <v>4900</v>
      </c>
      <c r="E23" s="13" t="n">
        <v>19500</v>
      </c>
      <c r="F23" s="13" t="n">
        <v>17200</v>
      </c>
      <c r="G23" s="13" t="n">
        <v>2300</v>
      </c>
      <c r="H23" s="59" t="n">
        <v>0.118</v>
      </c>
      <c r="I23" s="46" t="s">
        <v>910</v>
      </c>
      <c r="J23" s="13" t="n">
        <v>42</v>
      </c>
      <c r="K23" s="61" t="n">
        <v>4.6</v>
      </c>
      <c r="L23" s="62" t="n">
        <v>15</v>
      </c>
      <c r="M23" s="12" t="s">
        <v>975</v>
      </c>
      <c r="N23" s="12" t="s">
        <v>976</v>
      </c>
      <c r="O23" s="12" t="s">
        <v>527</v>
      </c>
      <c r="P23" s="12" t="s">
        <v>977</v>
      </c>
    </row>
    <row r="24" customFormat="false" ht="15" hidden="false" customHeight="false" outlineLevel="0" collapsed="false">
      <c r="A24" s="14" t="s">
        <v>978</v>
      </c>
      <c r="B24" s="14" t="s">
        <v>979</v>
      </c>
      <c r="C24" s="15" t="n">
        <v>7900</v>
      </c>
      <c r="D24" s="15" t="n">
        <v>3100</v>
      </c>
      <c r="E24" s="15" t="n">
        <v>11000</v>
      </c>
      <c r="F24" s="15" t="n">
        <v>8400</v>
      </c>
      <c r="G24" s="15" t="n">
        <v>2600</v>
      </c>
      <c r="H24" s="52" t="n">
        <v>0.236</v>
      </c>
      <c r="I24" s="14" t="s">
        <v>906</v>
      </c>
      <c r="J24" s="15" t="n">
        <v>64</v>
      </c>
      <c r="K24" s="63" t="n">
        <v>7.8</v>
      </c>
      <c r="L24" s="64" t="n">
        <v>15</v>
      </c>
      <c r="M24" s="14" t="s">
        <v>980</v>
      </c>
      <c r="N24" s="14" t="s">
        <v>981</v>
      </c>
      <c r="O24" s="14" t="s">
        <v>527</v>
      </c>
      <c r="P24" s="14" t="s">
        <v>977</v>
      </c>
    </row>
    <row r="25" customFormat="false" ht="15" hidden="false" customHeight="false" outlineLevel="0" collapsed="false">
      <c r="A25" s="12" t="s">
        <v>982</v>
      </c>
      <c r="B25" s="12" t="s">
        <v>983</v>
      </c>
      <c r="C25" s="13" t="n">
        <v>6200</v>
      </c>
      <c r="D25" s="13" t="n">
        <v>5400</v>
      </c>
      <c r="E25" s="13" t="n">
        <v>11600</v>
      </c>
      <c r="F25" s="13" t="n">
        <v>5100</v>
      </c>
      <c r="G25" s="13" t="n">
        <v>6500</v>
      </c>
      <c r="H25" s="59" t="n">
        <v>0.56</v>
      </c>
      <c r="I25" s="47" t="s">
        <v>914</v>
      </c>
      <c r="J25" s="13" t="n">
        <v>58</v>
      </c>
      <c r="K25" s="61" t="n">
        <v>8.2</v>
      </c>
      <c r="L25" s="62" t="n">
        <v>24</v>
      </c>
      <c r="M25" s="12" t="s">
        <v>984</v>
      </c>
      <c r="N25" s="12" t="s">
        <v>985</v>
      </c>
      <c r="O25" s="12" t="s">
        <v>527</v>
      </c>
      <c r="P25" s="12" t="s">
        <v>986</v>
      </c>
    </row>
    <row r="26" customFormat="false" ht="15" hidden="false" customHeight="false" outlineLevel="0" collapsed="false">
      <c r="A26" s="14" t="s">
        <v>987</v>
      </c>
      <c r="B26" s="14" t="s">
        <v>988</v>
      </c>
      <c r="C26" s="15" t="n">
        <v>9100</v>
      </c>
      <c r="D26" s="15" t="n">
        <v>6800</v>
      </c>
      <c r="E26" s="15" t="n">
        <v>15900</v>
      </c>
      <c r="F26" s="15" t="n">
        <v>7600</v>
      </c>
      <c r="G26" s="15" t="n">
        <v>8300</v>
      </c>
      <c r="H26" s="52" t="n">
        <v>0.522</v>
      </c>
      <c r="I26" s="14" t="s">
        <v>914</v>
      </c>
      <c r="J26" s="15" t="n">
        <v>66</v>
      </c>
      <c r="K26" s="63" t="n">
        <v>7.1</v>
      </c>
      <c r="L26" s="64" t="n">
        <v>17</v>
      </c>
      <c r="M26" s="14" t="s">
        <v>989</v>
      </c>
      <c r="N26" s="14" t="s">
        <v>990</v>
      </c>
      <c r="O26" s="14" t="s">
        <v>527</v>
      </c>
      <c r="P26" s="14" t="s">
        <v>991</v>
      </c>
    </row>
    <row r="27" customFormat="false" ht="15" hidden="false" customHeight="false" outlineLevel="0" collapsed="false">
      <c r="A27" s="12" t="s">
        <v>992</v>
      </c>
      <c r="B27" s="12" t="s">
        <v>993</v>
      </c>
      <c r="C27" s="13" t="n">
        <v>26800</v>
      </c>
      <c r="D27" s="13" t="n">
        <v>14200</v>
      </c>
      <c r="E27" s="13" t="n">
        <v>41000</v>
      </c>
      <c r="F27" s="13" t="n">
        <v>35900</v>
      </c>
      <c r="G27" s="13" t="n">
        <v>5100</v>
      </c>
      <c r="H27" s="59" t="n">
        <v>0.124</v>
      </c>
      <c r="I27" s="46" t="s">
        <v>910</v>
      </c>
      <c r="J27" s="13" t="n">
        <v>24</v>
      </c>
      <c r="K27" s="61" t="n">
        <v>3.9</v>
      </c>
      <c r="L27" s="62" t="n">
        <v>12</v>
      </c>
      <c r="M27" s="12" t="s">
        <v>994</v>
      </c>
      <c r="N27" s="12" t="s">
        <v>995</v>
      </c>
      <c r="O27" s="12" t="s">
        <v>527</v>
      </c>
      <c r="P27" s="12" t="s">
        <v>996</v>
      </c>
    </row>
    <row r="28" customFormat="false" ht="15" hidden="false" customHeight="false" outlineLevel="0" collapsed="false">
      <c r="A28" s="14" t="s">
        <v>214</v>
      </c>
      <c r="B28" s="14" t="s">
        <v>962</v>
      </c>
      <c r="C28" s="15" t="n">
        <v>19400</v>
      </c>
      <c r="D28" s="15" t="n">
        <v>8900</v>
      </c>
      <c r="E28" s="15" t="n">
        <v>28300</v>
      </c>
      <c r="F28" s="15" t="n">
        <v>26100</v>
      </c>
      <c r="G28" s="15" t="n">
        <v>2200</v>
      </c>
      <c r="H28" s="52" t="n">
        <v>0.078</v>
      </c>
      <c r="I28" s="14" t="s">
        <v>932</v>
      </c>
      <c r="J28" s="15" t="n">
        <v>33</v>
      </c>
      <c r="K28" s="63" t="n">
        <v>3.6</v>
      </c>
      <c r="L28" s="64" t="n">
        <v>14</v>
      </c>
      <c r="M28" s="14" t="s">
        <v>997</v>
      </c>
      <c r="N28" s="14" t="s">
        <v>998</v>
      </c>
      <c r="O28" s="14" t="s">
        <v>527</v>
      </c>
      <c r="P28" s="14" t="s">
        <v>999</v>
      </c>
    </row>
    <row r="29" customFormat="false" ht="15" hidden="false" customHeight="false" outlineLevel="0" collapsed="false">
      <c r="A29" s="48" t="s">
        <v>1000</v>
      </c>
      <c r="B29" s="48"/>
      <c r="C29" s="49" t="n">
        <f aca="false">SUM(C5:C28)</f>
        <v>425900</v>
      </c>
      <c r="D29" s="49" t="n">
        <f aca="false">SUM(D5:D28)</f>
        <v>177800</v>
      </c>
      <c r="E29" s="49" t="n">
        <f aca="false">SUM(E5:E28)</f>
        <v>603700</v>
      </c>
      <c r="F29" s="49" t="n">
        <f aca="false">SUM(F5:F28)</f>
        <v>527700</v>
      </c>
      <c r="G29" s="49" t="n">
        <f aca="false">SUM(G5:G28)</f>
        <v>76000</v>
      </c>
      <c r="H29" s="67" t="n">
        <f aca="false">G29/E29</f>
        <v>0.125890342885539</v>
      </c>
      <c r="I29" s="48"/>
      <c r="J29" s="48"/>
      <c r="K29" s="48"/>
      <c r="L29" s="48"/>
      <c r="M29" s="48"/>
      <c r="N29" s="48"/>
      <c r="O29" s="48"/>
      <c r="P29" s="48"/>
    </row>
    <row r="31" customFormat="false" ht="42" hidden="false" customHeight="true" outlineLevel="0" collapsed="false">
      <c r="A31" s="22" t="s">
        <v>1001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</row>
  </sheetData>
  <mergeCells count="4">
    <mergeCell ref="A1:P1"/>
    <mergeCell ref="A2:P2"/>
    <mergeCell ref="A29:B29"/>
    <mergeCell ref="A31:P31"/>
  </mergeCells>
  <conditionalFormatting sqref="H5:H28">
    <cfRule type="colorScale" priority="2">
      <colorScale>
        <cfvo type="min" val="0"/>
        <cfvo type="num" val="0"/>
        <cfvo type="max" val="0"/>
        <color rgb="FFA8D8B9"/>
        <color rgb="FFFFFFFF"/>
        <color rgb="FFC0392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12"/>
    <col collapsed="false" customWidth="true" hidden="false" outlineLevel="0" max="17" min="16" style="0" width="10"/>
    <col collapsed="false" customWidth="true" hidden="false" outlineLevel="0" max="18" min="18" style="0" width="11"/>
  </cols>
  <sheetData>
    <row r="1" customFormat="false" ht="25.5" hidden="false" customHeight="true" outlineLevel="0" collapsed="false">
      <c r="A1" s="1" t="s">
        <v>1002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true" outlineLevel="0" collapsed="false">
      <c r="A2" s="2" t="s">
        <v>1003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51.75" hidden="false" customHeight="true" outlineLevel="0" collapsed="false">
      <c r="A4" s="11" t="s">
        <v>495</v>
      </c>
      <c r="B4" s="11" t="s">
        <v>78</v>
      </c>
      <c r="C4" s="11" t="s">
        <v>1004</v>
      </c>
      <c r="D4" s="11" t="s">
        <v>1005</v>
      </c>
      <c r="E4" s="11" t="s">
        <v>1006</v>
      </c>
      <c r="F4" s="11" t="s">
        <v>1007</v>
      </c>
      <c r="G4" s="11" t="s">
        <v>1008</v>
      </c>
      <c r="H4" s="11" t="s">
        <v>1009</v>
      </c>
      <c r="I4" s="11" t="s">
        <v>1010</v>
      </c>
      <c r="J4" s="11" t="s">
        <v>1011</v>
      </c>
      <c r="K4" s="11" t="s">
        <v>1012</v>
      </c>
      <c r="L4" s="11" t="s">
        <v>1013</v>
      </c>
      <c r="M4" s="11" t="s">
        <v>1014</v>
      </c>
      <c r="N4" s="11" t="s">
        <v>1015</v>
      </c>
      <c r="O4" s="11" t="s">
        <v>1016</v>
      </c>
      <c r="P4" s="11" t="s">
        <v>1017</v>
      </c>
      <c r="Q4" s="11" t="s">
        <v>1018</v>
      </c>
      <c r="R4" s="11" t="s">
        <v>1019</v>
      </c>
    </row>
    <row r="5" customFormat="false" ht="15" hidden="false" customHeight="false" outlineLevel="0" collapsed="false">
      <c r="A5" s="12" t="s">
        <v>128</v>
      </c>
      <c r="B5" s="12" t="s">
        <v>81</v>
      </c>
      <c r="C5" s="13" t="n">
        <v>128336</v>
      </c>
      <c r="D5" s="61" t="n">
        <v>14.4</v>
      </c>
      <c r="E5" s="68" t="n">
        <v>1.8</v>
      </c>
      <c r="F5" s="13" t="n">
        <f aca="false">$C5/100*$D5*$E5*0.02</f>
        <v>665.293824</v>
      </c>
      <c r="G5" s="13" t="n">
        <f aca="false">F5*0.82</f>
        <v>545.54093568</v>
      </c>
      <c r="H5" s="13" t="n">
        <f aca="false">F5*1.22</f>
        <v>811.65846528</v>
      </c>
      <c r="I5" s="13" t="n">
        <f aca="false">$C5/100*$D5*$E5*0.06</f>
        <v>1995.881472</v>
      </c>
      <c r="J5" s="13" t="n">
        <f aca="false">I5*0.8</f>
        <v>1596.7051776</v>
      </c>
      <c r="K5" s="13" t="n">
        <f aca="false">I5*1.25</f>
        <v>2494.85184</v>
      </c>
      <c r="L5" s="13" t="n">
        <f aca="false">$C5/100*$D5*$E5*0.2</f>
        <v>6652.93824</v>
      </c>
      <c r="M5" s="13" t="n">
        <f aca="false">L5*0.78</f>
        <v>5189.2918272</v>
      </c>
      <c r="N5" s="13" t="n">
        <f aca="false">L5*1.3</f>
        <v>8648.819712</v>
      </c>
      <c r="O5" s="13" t="n">
        <f aca="false">$C5/100*$D5*$E5*1</f>
        <v>33264.6912</v>
      </c>
      <c r="P5" s="13" t="n">
        <f aca="false">O5*0.75</f>
        <v>24948.5184</v>
      </c>
      <c r="Q5" s="13" t="n">
        <f aca="false">O5*1.35</f>
        <v>44907.33312</v>
      </c>
      <c r="R5" s="46" t="s">
        <v>527</v>
      </c>
    </row>
    <row r="6" customFormat="false" ht="15" hidden="false" customHeight="false" outlineLevel="0" collapsed="false">
      <c r="A6" s="14" t="s">
        <v>128</v>
      </c>
      <c r="B6" s="14" t="s">
        <v>331</v>
      </c>
      <c r="C6" s="15" t="n">
        <v>3700</v>
      </c>
      <c r="D6" s="63" t="n">
        <v>54.1</v>
      </c>
      <c r="E6" s="69" t="n">
        <v>1.8</v>
      </c>
      <c r="F6" s="15" t="n">
        <f aca="false">$C6/100*$D6*$E6*0.02</f>
        <v>72.0612</v>
      </c>
      <c r="G6" s="15" t="n">
        <f aca="false">F6*0.82</f>
        <v>59.090184</v>
      </c>
      <c r="H6" s="15" t="n">
        <f aca="false">F6*1.22</f>
        <v>87.914664</v>
      </c>
      <c r="I6" s="15" t="n">
        <f aca="false">$C6/100*$D6*$E6*0.05</f>
        <v>180.153</v>
      </c>
      <c r="J6" s="15" t="n">
        <f aca="false">I6*0.8</f>
        <v>144.1224</v>
      </c>
      <c r="K6" s="15" t="n">
        <f aca="false">I6*1.25</f>
        <v>225.19125</v>
      </c>
      <c r="L6" s="15" t="n">
        <f aca="false">$C6/100*$D6*$E6*0.18</f>
        <v>648.5508</v>
      </c>
      <c r="M6" s="15" t="n">
        <f aca="false">L6*0.78</f>
        <v>505.869624</v>
      </c>
      <c r="N6" s="15" t="n">
        <f aca="false">L6*1.3</f>
        <v>843.11604</v>
      </c>
      <c r="O6" s="15" t="n">
        <f aca="false">$C6/100*$D6*$E6*1</f>
        <v>3603.06</v>
      </c>
      <c r="P6" s="15" t="n">
        <f aca="false">O6*0.75</f>
        <v>2702.295</v>
      </c>
      <c r="Q6" s="15" t="n">
        <f aca="false">O6*1.35</f>
        <v>4864.131</v>
      </c>
      <c r="R6" s="14" t="s">
        <v>527</v>
      </c>
    </row>
    <row r="7" customFormat="false" ht="15" hidden="false" customHeight="false" outlineLevel="0" collapsed="false">
      <c r="A7" s="12" t="s">
        <v>128</v>
      </c>
      <c r="B7" s="12" t="s">
        <v>338</v>
      </c>
      <c r="C7" s="13" t="n">
        <v>618</v>
      </c>
      <c r="D7" s="61" t="n">
        <v>72.8</v>
      </c>
      <c r="E7" s="68" t="n">
        <v>1.6</v>
      </c>
      <c r="F7" s="13" t="n">
        <f aca="false">$C7/100*$D7*$E7*0.03</f>
        <v>21.595392</v>
      </c>
      <c r="G7" s="13" t="n">
        <f aca="false">F7*0.82</f>
        <v>17.70822144</v>
      </c>
      <c r="H7" s="13" t="n">
        <f aca="false">F7*1.22</f>
        <v>26.34637824</v>
      </c>
      <c r="I7" s="13" t="n">
        <f aca="false">$C7/100*$D7*$E7*0.08</f>
        <v>57.587712</v>
      </c>
      <c r="J7" s="13" t="n">
        <f aca="false">I7*0.8</f>
        <v>46.0701696</v>
      </c>
      <c r="K7" s="13" t="n">
        <f aca="false">I7*1.25</f>
        <v>71.98464</v>
      </c>
      <c r="L7" s="13" t="n">
        <f aca="false">$C7/100*$D7*$E7*0.25</f>
        <v>179.9616</v>
      </c>
      <c r="M7" s="13" t="n">
        <f aca="false">L7*0.78</f>
        <v>140.370048</v>
      </c>
      <c r="N7" s="13" t="n">
        <f aca="false">L7*1.3</f>
        <v>233.95008</v>
      </c>
      <c r="O7" s="13" t="n">
        <f aca="false">$C7/100*$D7*$E7*1</f>
        <v>719.8464</v>
      </c>
      <c r="P7" s="13" t="n">
        <f aca="false">O7*0.75</f>
        <v>539.8848</v>
      </c>
      <c r="Q7" s="13" t="n">
        <f aca="false">O7*1.35</f>
        <v>971.79264</v>
      </c>
      <c r="R7" s="47" t="s">
        <v>572</v>
      </c>
    </row>
    <row r="8" customFormat="false" ht="15" hidden="false" customHeight="false" outlineLevel="0" collapsed="false">
      <c r="A8" s="14" t="s">
        <v>134</v>
      </c>
      <c r="B8" s="14" t="s">
        <v>84</v>
      </c>
      <c r="C8" s="15" t="n">
        <v>1750</v>
      </c>
      <c r="D8" s="63" t="n">
        <v>91.4</v>
      </c>
      <c r="E8" s="69" t="n">
        <v>2.4</v>
      </c>
      <c r="F8" s="15" t="n">
        <f aca="false">$C8/100*$D8*$E8*0.1</f>
        <v>383.88</v>
      </c>
      <c r="G8" s="15" t="n">
        <f aca="false">F8*0.82</f>
        <v>314.7816</v>
      </c>
      <c r="H8" s="15" t="n">
        <f aca="false">F8*1.22</f>
        <v>468.3336</v>
      </c>
      <c r="I8" s="15" t="n">
        <f aca="false">$C8/100*$D8*$E8*0.28</f>
        <v>1074.864</v>
      </c>
      <c r="J8" s="15" t="n">
        <f aca="false">I8*0.8</f>
        <v>859.8912</v>
      </c>
      <c r="K8" s="15" t="n">
        <f aca="false">I8*1.25</f>
        <v>1343.58</v>
      </c>
      <c r="L8" s="15" t="n">
        <f aca="false">$C8/100*$D8*$E8*0.62</f>
        <v>2380.056</v>
      </c>
      <c r="M8" s="15" t="n">
        <f aca="false">L8*0.78</f>
        <v>1856.44368</v>
      </c>
      <c r="N8" s="15" t="n">
        <f aca="false">L8*1.3</f>
        <v>3094.0728</v>
      </c>
      <c r="O8" s="15" t="n">
        <f aca="false">$C8/100*$D8*$E8*1</f>
        <v>3838.8</v>
      </c>
      <c r="P8" s="15" t="n">
        <f aca="false">O8*0.75</f>
        <v>2879.1</v>
      </c>
      <c r="Q8" s="15" t="n">
        <f aca="false">O8*1.35</f>
        <v>5182.38</v>
      </c>
      <c r="R8" s="14" t="s">
        <v>513</v>
      </c>
    </row>
    <row r="9" customFormat="false" ht="15" hidden="false" customHeight="false" outlineLevel="0" collapsed="false">
      <c r="A9" s="12" t="s">
        <v>134</v>
      </c>
      <c r="B9" s="12" t="s">
        <v>85</v>
      </c>
      <c r="C9" s="13" t="n">
        <v>1740</v>
      </c>
      <c r="D9" s="61" t="n">
        <v>23</v>
      </c>
      <c r="E9" s="68" t="n">
        <v>2.4</v>
      </c>
      <c r="F9" s="13" t="n">
        <f aca="false">$C9/100*$D9*$E9*0.09</f>
        <v>86.4432</v>
      </c>
      <c r="G9" s="13" t="n">
        <f aca="false">F9*0.82</f>
        <v>70.883424</v>
      </c>
      <c r="H9" s="13" t="n">
        <f aca="false">F9*1.22</f>
        <v>105.460704</v>
      </c>
      <c r="I9" s="13" t="n">
        <f aca="false">$C9/100*$D9*$E9*0.26</f>
        <v>249.7248</v>
      </c>
      <c r="J9" s="13" t="n">
        <f aca="false">I9*0.8</f>
        <v>199.77984</v>
      </c>
      <c r="K9" s="13" t="n">
        <f aca="false">I9*1.25</f>
        <v>312.156</v>
      </c>
      <c r="L9" s="13" t="n">
        <f aca="false">$C9/100*$D9*$E9*0.6</f>
        <v>576.288</v>
      </c>
      <c r="M9" s="13" t="n">
        <f aca="false">L9*0.78</f>
        <v>449.50464</v>
      </c>
      <c r="N9" s="13" t="n">
        <f aca="false">L9*1.3</f>
        <v>749.1744</v>
      </c>
      <c r="O9" s="13" t="n">
        <f aca="false">$C9/100*$D9*$E9*1</f>
        <v>960.48</v>
      </c>
      <c r="P9" s="13" t="n">
        <f aca="false">O9*0.75</f>
        <v>720.36</v>
      </c>
      <c r="Q9" s="13" t="n">
        <f aca="false">O9*1.35</f>
        <v>1296.648</v>
      </c>
      <c r="R9" s="65" t="s">
        <v>513</v>
      </c>
    </row>
    <row r="10" customFormat="false" ht="15" hidden="false" customHeight="false" outlineLevel="0" collapsed="false">
      <c r="A10" s="14" t="s">
        <v>1020</v>
      </c>
      <c r="B10" s="14" t="s">
        <v>84</v>
      </c>
      <c r="C10" s="15" t="n">
        <v>11702</v>
      </c>
      <c r="D10" s="63" t="n">
        <v>35</v>
      </c>
      <c r="E10" s="69" t="n">
        <v>1.7</v>
      </c>
      <c r="F10" s="15" t="n">
        <f aca="false">$C10/100*$D10*$E10*0.06</f>
        <v>417.7614</v>
      </c>
      <c r="G10" s="15" t="n">
        <f aca="false">F10*0.82</f>
        <v>342.564348</v>
      </c>
      <c r="H10" s="15" t="n">
        <f aca="false">F10*1.22</f>
        <v>509.668908</v>
      </c>
      <c r="I10" s="15" t="n">
        <f aca="false">$C10/100*$D10*$E10*0.17</f>
        <v>1183.6573</v>
      </c>
      <c r="J10" s="15" t="n">
        <f aca="false">I10*0.8</f>
        <v>946.92584</v>
      </c>
      <c r="K10" s="15" t="n">
        <f aca="false">I10*1.25</f>
        <v>1479.571625</v>
      </c>
      <c r="L10" s="15" t="n">
        <f aca="false">$C10/100*$D10*$E10*0.45</f>
        <v>3133.2105</v>
      </c>
      <c r="M10" s="15" t="n">
        <f aca="false">L10*0.78</f>
        <v>2443.90419</v>
      </c>
      <c r="N10" s="15" t="n">
        <f aca="false">L10*1.3</f>
        <v>4073.17365</v>
      </c>
      <c r="O10" s="15" t="n">
        <f aca="false">$C10/100*$D10*$E10*1</f>
        <v>6962.69</v>
      </c>
      <c r="P10" s="15" t="n">
        <f aca="false">O10*0.75</f>
        <v>5222.0175</v>
      </c>
      <c r="Q10" s="15" t="n">
        <f aca="false">O10*1.35</f>
        <v>9399.6315</v>
      </c>
      <c r="R10" s="14" t="s">
        <v>527</v>
      </c>
    </row>
    <row r="11" customFormat="false" ht="15" hidden="false" customHeight="false" outlineLevel="0" collapsed="false">
      <c r="A11" s="12" t="s">
        <v>1021</v>
      </c>
      <c r="B11" s="12" t="s">
        <v>84</v>
      </c>
      <c r="C11" s="13" t="n">
        <v>9298</v>
      </c>
      <c r="D11" s="61" t="n">
        <v>8.7</v>
      </c>
      <c r="E11" s="68" t="n">
        <v>1.7</v>
      </c>
      <c r="F11" s="13" t="n">
        <f aca="false">$C11/100*$D11*$E11*0.05</f>
        <v>68.75871</v>
      </c>
      <c r="G11" s="13" t="n">
        <f aca="false">F11*0.82</f>
        <v>56.3821422</v>
      </c>
      <c r="H11" s="13" t="n">
        <f aca="false">F11*1.22</f>
        <v>83.8856262</v>
      </c>
      <c r="I11" s="13" t="n">
        <f aca="false">$C11/100*$D11*$E11*0.15</f>
        <v>206.27613</v>
      </c>
      <c r="J11" s="13" t="n">
        <f aca="false">I11*0.8</f>
        <v>165.020904</v>
      </c>
      <c r="K11" s="13" t="n">
        <f aca="false">I11*1.25</f>
        <v>257.8451625</v>
      </c>
      <c r="L11" s="13" t="n">
        <f aca="false">$C11/100*$D11*$E11*0.4</f>
        <v>550.06968</v>
      </c>
      <c r="M11" s="13" t="n">
        <f aca="false">L11*0.78</f>
        <v>429.0543504</v>
      </c>
      <c r="N11" s="13" t="n">
        <f aca="false">L11*1.3</f>
        <v>715.090584</v>
      </c>
      <c r="O11" s="13" t="n">
        <f aca="false">$C11/100*$D11*$E11*1</f>
        <v>1375.1742</v>
      </c>
      <c r="P11" s="13" t="n">
        <f aca="false">O11*0.75</f>
        <v>1031.38065</v>
      </c>
      <c r="Q11" s="13" t="n">
        <f aca="false">O11*1.35</f>
        <v>1856.48517</v>
      </c>
      <c r="R11" s="47" t="s">
        <v>572</v>
      </c>
    </row>
    <row r="12" customFormat="false" ht="15" hidden="false" customHeight="false" outlineLevel="0" collapsed="false">
      <c r="A12" s="14" t="s">
        <v>1022</v>
      </c>
      <c r="B12" s="14" t="s">
        <v>84</v>
      </c>
      <c r="C12" s="15" t="n">
        <v>1251</v>
      </c>
      <c r="D12" s="63" t="n">
        <v>152.8</v>
      </c>
      <c r="E12" s="69" t="n">
        <v>1.6</v>
      </c>
      <c r="F12" s="15" t="n">
        <f aca="false">$C12/100*$D12*$E12*0.14</f>
        <v>428.182272</v>
      </c>
      <c r="G12" s="15" t="n">
        <f aca="false">F12*0.82</f>
        <v>351.10946304</v>
      </c>
      <c r="H12" s="15" t="n">
        <f aca="false">F12*1.22</f>
        <v>522.38237184</v>
      </c>
      <c r="I12" s="15" t="n">
        <f aca="false">$C12/100*$D12*$E12*0.34</f>
        <v>1039.871232</v>
      </c>
      <c r="J12" s="15" t="n">
        <f aca="false">I12*0.8</f>
        <v>831.8969856</v>
      </c>
      <c r="K12" s="15" t="n">
        <f aca="false">I12*1.25</f>
        <v>1299.83904</v>
      </c>
      <c r="L12" s="15" t="n">
        <f aca="false">$C12/100*$D12*$E12*0.7</f>
        <v>2140.91136</v>
      </c>
      <c r="M12" s="15" t="n">
        <f aca="false">L12*0.78</f>
        <v>1669.9108608</v>
      </c>
      <c r="N12" s="15" t="n">
        <f aca="false">L12*1.3</f>
        <v>2783.184768</v>
      </c>
      <c r="O12" s="15" t="n">
        <f aca="false">$C12/100*$D12*$E12*1</f>
        <v>3058.4448</v>
      </c>
      <c r="P12" s="15" t="n">
        <f aca="false">O12*0.75</f>
        <v>2293.8336</v>
      </c>
      <c r="Q12" s="15" t="n">
        <f aca="false">O12*1.35</f>
        <v>4128.90048</v>
      </c>
      <c r="R12" s="14" t="s">
        <v>527</v>
      </c>
    </row>
    <row r="13" customFormat="false" ht="15" hidden="false" customHeight="false" outlineLevel="0" collapsed="false">
      <c r="A13" s="12" t="s">
        <v>149</v>
      </c>
      <c r="B13" s="12" t="s">
        <v>84</v>
      </c>
      <c r="C13" s="13" t="n">
        <v>542</v>
      </c>
      <c r="D13" s="61" t="n">
        <v>242.1</v>
      </c>
      <c r="E13" s="68" t="n">
        <v>1.9</v>
      </c>
      <c r="F13" s="13" t="n">
        <f aca="false">$C13/100*$D13*$E13*0.2</f>
        <v>498.62916</v>
      </c>
      <c r="G13" s="13" t="n">
        <f aca="false">F13*0.82</f>
        <v>408.8759112</v>
      </c>
      <c r="H13" s="13" t="n">
        <f aca="false">F13*1.22</f>
        <v>608.3275752</v>
      </c>
      <c r="I13" s="13" t="n">
        <f aca="false">$C13/100*$D13*$E13*0.45</f>
        <v>1121.91561</v>
      </c>
      <c r="J13" s="13" t="n">
        <f aca="false">I13*0.8</f>
        <v>897.532488</v>
      </c>
      <c r="K13" s="13" t="n">
        <f aca="false">I13*1.25</f>
        <v>1402.3945125</v>
      </c>
      <c r="L13" s="13" t="n">
        <f aca="false">$C13/100*$D13*$E13*0.75</f>
        <v>1869.85935</v>
      </c>
      <c r="M13" s="13" t="n">
        <f aca="false">L13*0.78</f>
        <v>1458.490293</v>
      </c>
      <c r="N13" s="13" t="n">
        <f aca="false">L13*1.3</f>
        <v>2430.817155</v>
      </c>
      <c r="O13" s="13" t="n">
        <f aca="false">$C13/100*$D13*$E13*1</f>
        <v>2493.1458</v>
      </c>
      <c r="P13" s="13" t="n">
        <f aca="false">O13*0.75</f>
        <v>1869.85935</v>
      </c>
      <c r="Q13" s="13" t="n">
        <f aca="false">O13*1.35</f>
        <v>3365.74683</v>
      </c>
      <c r="R13" s="65" t="s">
        <v>513</v>
      </c>
    </row>
    <row r="14" customFormat="false" ht="15" hidden="false" customHeight="false" outlineLevel="0" collapsed="false">
      <c r="A14" s="14" t="s">
        <v>1023</v>
      </c>
      <c r="B14" s="14" t="s">
        <v>84</v>
      </c>
      <c r="C14" s="15" t="n">
        <v>2066</v>
      </c>
      <c r="D14" s="63" t="n">
        <v>104.1</v>
      </c>
      <c r="E14" s="69" t="n">
        <v>1.9</v>
      </c>
      <c r="F14" s="15" t="n">
        <f aca="false">$C14/100*$D14*$E14*0.22</f>
        <v>898.995108</v>
      </c>
      <c r="G14" s="15" t="n">
        <f aca="false">F14*0.82</f>
        <v>737.17598856</v>
      </c>
      <c r="H14" s="15" t="n">
        <f aca="false">F14*1.22</f>
        <v>1096.77403176</v>
      </c>
      <c r="I14" s="15" t="n">
        <f aca="false">$C14/100*$D14*$E14*0.48</f>
        <v>1961.443872</v>
      </c>
      <c r="J14" s="15" t="n">
        <f aca="false">I14*0.8</f>
        <v>1569.1550976</v>
      </c>
      <c r="K14" s="15" t="n">
        <f aca="false">I14*1.25</f>
        <v>2451.80484</v>
      </c>
      <c r="L14" s="15" t="n">
        <f aca="false">$C14/100*$D14*$E14*0.82</f>
        <v>3350.799948</v>
      </c>
      <c r="M14" s="15" t="n">
        <f aca="false">L14*0.78</f>
        <v>2613.62395944</v>
      </c>
      <c r="N14" s="15" t="n">
        <f aca="false">L14*1.3</f>
        <v>4356.0399324</v>
      </c>
      <c r="O14" s="15" t="n">
        <f aca="false">$C14/100*$D14*$E14*1</f>
        <v>4086.3414</v>
      </c>
      <c r="P14" s="15" t="n">
        <f aca="false">O14*0.75</f>
        <v>3064.75605</v>
      </c>
      <c r="Q14" s="15" t="n">
        <f aca="false">O14*1.35</f>
        <v>5516.56089</v>
      </c>
      <c r="R14" s="14" t="s">
        <v>513</v>
      </c>
    </row>
    <row r="15" customFormat="false" ht="15" hidden="false" customHeight="false" outlineLevel="0" collapsed="false">
      <c r="A15" s="12" t="s">
        <v>1024</v>
      </c>
      <c r="B15" s="12" t="s">
        <v>84</v>
      </c>
      <c r="C15" s="13" t="n">
        <v>1116</v>
      </c>
      <c r="D15" s="61" t="n">
        <v>134.4</v>
      </c>
      <c r="E15" s="68" t="n">
        <v>2.2</v>
      </c>
      <c r="F15" s="13" t="n">
        <f aca="false">$C15/100*$D15*$E15*0.18</f>
        <v>593.961984</v>
      </c>
      <c r="G15" s="13" t="n">
        <f aca="false">F15*0.82</f>
        <v>487.04882688</v>
      </c>
      <c r="H15" s="13" t="n">
        <f aca="false">F15*1.22</f>
        <v>724.63362048</v>
      </c>
      <c r="I15" s="13" t="n">
        <f aca="false">$C15/100*$D15*$E15*0.42</f>
        <v>1385.911296</v>
      </c>
      <c r="J15" s="13" t="n">
        <f aca="false">I15*0.8</f>
        <v>1108.7290368</v>
      </c>
      <c r="K15" s="13" t="n">
        <f aca="false">I15*1.25</f>
        <v>1732.38912</v>
      </c>
      <c r="L15" s="13" t="n">
        <f aca="false">$C15/100*$D15*$E15*0.78</f>
        <v>2573.835264</v>
      </c>
      <c r="M15" s="13" t="n">
        <f aca="false">L15*0.78</f>
        <v>2007.59150592</v>
      </c>
      <c r="N15" s="13" t="n">
        <f aca="false">L15*1.3</f>
        <v>3345.9858432</v>
      </c>
      <c r="O15" s="13" t="n">
        <f aca="false">$C15/100*$D15*$E15*1</f>
        <v>3299.7888</v>
      </c>
      <c r="P15" s="13" t="n">
        <f aca="false">O15*0.75</f>
        <v>2474.8416</v>
      </c>
      <c r="Q15" s="13" t="n">
        <f aca="false">O15*1.35</f>
        <v>4454.71488</v>
      </c>
      <c r="R15" s="65" t="s">
        <v>513</v>
      </c>
    </row>
    <row r="16" customFormat="false" ht="15" hidden="false" customHeight="false" outlineLevel="0" collapsed="false">
      <c r="A16" s="14" t="s">
        <v>1025</v>
      </c>
      <c r="B16" s="14" t="s">
        <v>84</v>
      </c>
      <c r="C16" s="15" t="n">
        <v>495</v>
      </c>
      <c r="D16" s="63" t="n">
        <v>222.4</v>
      </c>
      <c r="E16" s="69" t="n">
        <v>1.3</v>
      </c>
      <c r="F16" s="15" t="n">
        <f aca="false">$C16/100*$D16*$E16*0.2</f>
        <v>286.2288</v>
      </c>
      <c r="G16" s="15" t="n">
        <f aca="false">F16*0.82</f>
        <v>234.707616</v>
      </c>
      <c r="H16" s="15" t="n">
        <f aca="false">F16*1.22</f>
        <v>349.199136</v>
      </c>
      <c r="I16" s="15" t="n">
        <f aca="false">$C16/100*$D16*$E16*0.4</f>
        <v>572.4576</v>
      </c>
      <c r="J16" s="15" t="n">
        <f aca="false">I16*0.8</f>
        <v>457.96608</v>
      </c>
      <c r="K16" s="15" t="n">
        <f aca="false">I16*1.25</f>
        <v>715.572</v>
      </c>
      <c r="L16" s="15" t="n">
        <f aca="false">$C16/100*$D16*$E16*0.65</f>
        <v>930.2436</v>
      </c>
      <c r="M16" s="15" t="n">
        <f aca="false">L16*0.78</f>
        <v>725.590008</v>
      </c>
      <c r="N16" s="15" t="n">
        <f aca="false">L16*1.3</f>
        <v>1209.31668</v>
      </c>
      <c r="O16" s="15" t="n">
        <f aca="false">$C16/100*$D16*$E16*1</f>
        <v>1431.144</v>
      </c>
      <c r="P16" s="15" t="n">
        <f aca="false">O16*0.75</f>
        <v>1073.358</v>
      </c>
      <c r="Q16" s="15" t="n">
        <f aca="false">O16*1.35</f>
        <v>1932.0444</v>
      </c>
      <c r="R16" s="14" t="s">
        <v>513</v>
      </c>
    </row>
    <row r="17" customFormat="false" ht="15" hidden="false" customHeight="false" outlineLevel="0" collapsed="false">
      <c r="A17" s="12" t="s">
        <v>228</v>
      </c>
      <c r="B17" s="12" t="s">
        <v>84</v>
      </c>
      <c r="C17" s="13" t="n">
        <v>300</v>
      </c>
      <c r="D17" s="61" t="n">
        <v>216.7</v>
      </c>
      <c r="E17" s="68" t="n">
        <v>1.7</v>
      </c>
      <c r="F17" s="13" t="n">
        <f aca="false">$C17/100*$D17*$E17*0.28</f>
        <v>309.4476</v>
      </c>
      <c r="G17" s="13" t="n">
        <f aca="false">F17*0.82</f>
        <v>253.747032</v>
      </c>
      <c r="H17" s="13" t="n">
        <f aca="false">F17*1.22</f>
        <v>377.526072</v>
      </c>
      <c r="I17" s="13" t="n">
        <f aca="false">$C17/100*$D17*$E17*0.55</f>
        <v>607.8435</v>
      </c>
      <c r="J17" s="13" t="n">
        <f aca="false">I17*0.8</f>
        <v>486.2748</v>
      </c>
      <c r="K17" s="13" t="n">
        <f aca="false">I17*1.25</f>
        <v>759.804375</v>
      </c>
      <c r="L17" s="13" t="n">
        <f aca="false">$C17/100*$D17*$E17*0.85</f>
        <v>939.3945</v>
      </c>
      <c r="M17" s="13" t="n">
        <f aca="false">L17*0.78</f>
        <v>732.72771</v>
      </c>
      <c r="N17" s="13" t="n">
        <f aca="false">L17*1.3</f>
        <v>1221.21285</v>
      </c>
      <c r="O17" s="13" t="n">
        <f aca="false">$C17/100*$D17*$E17*1</f>
        <v>1105.17</v>
      </c>
      <c r="P17" s="13" t="n">
        <f aca="false">O17*0.75</f>
        <v>828.8775</v>
      </c>
      <c r="Q17" s="13" t="n">
        <f aca="false">O17*1.35</f>
        <v>1491.9795</v>
      </c>
      <c r="R17" s="46" t="s">
        <v>527</v>
      </c>
    </row>
    <row r="18" customFormat="false" ht="15" hidden="false" customHeight="false" outlineLevel="0" collapsed="false">
      <c r="A18" s="14" t="s">
        <v>1026</v>
      </c>
      <c r="B18" s="14" t="s">
        <v>85</v>
      </c>
      <c r="C18" s="15" t="n">
        <v>70000</v>
      </c>
      <c r="D18" s="63" t="n">
        <v>14.3</v>
      </c>
      <c r="E18" s="69" t="n">
        <v>1.5</v>
      </c>
      <c r="F18" s="15" t="n">
        <f aca="false">$C18/100*$D18*$E18*0.05</f>
        <v>750.75</v>
      </c>
      <c r="G18" s="15" t="n">
        <f aca="false">F18*0.82</f>
        <v>615.615</v>
      </c>
      <c r="H18" s="15" t="n">
        <f aca="false">F18*1.22</f>
        <v>915.915</v>
      </c>
      <c r="I18" s="15" t="n">
        <f aca="false">$C18/100*$D18*$E18*0.15</f>
        <v>2252.25</v>
      </c>
      <c r="J18" s="15" t="n">
        <f aca="false">I18*0.8</f>
        <v>1801.8</v>
      </c>
      <c r="K18" s="15" t="n">
        <f aca="false">I18*1.25</f>
        <v>2815.3125</v>
      </c>
      <c r="L18" s="15" t="n">
        <f aca="false">$C18/100*$D18*$E18*0.42</f>
        <v>6306.3</v>
      </c>
      <c r="M18" s="15" t="n">
        <f aca="false">L18*0.78</f>
        <v>4918.914</v>
      </c>
      <c r="N18" s="15" t="n">
        <f aca="false">L18*1.3</f>
        <v>8198.19</v>
      </c>
      <c r="O18" s="15" t="n">
        <f aca="false">$C18/100*$D18*$E18*1</f>
        <v>15015</v>
      </c>
      <c r="P18" s="15" t="n">
        <f aca="false">O18*0.75</f>
        <v>11261.25</v>
      </c>
      <c r="Q18" s="15" t="n">
        <f aca="false">O18*1.35</f>
        <v>20270.25</v>
      </c>
      <c r="R18" s="14" t="s">
        <v>527</v>
      </c>
    </row>
    <row r="19" customFormat="false" ht="15" hidden="false" customHeight="false" outlineLevel="0" collapsed="false">
      <c r="A19" s="12" t="s">
        <v>1027</v>
      </c>
      <c r="B19" s="12" t="s">
        <v>85</v>
      </c>
      <c r="C19" s="13" t="n">
        <v>4651</v>
      </c>
      <c r="D19" s="61" t="n">
        <v>25.1</v>
      </c>
      <c r="E19" s="68" t="n">
        <v>1.6</v>
      </c>
      <c r="F19" s="13" t="n">
        <f aca="false">$C19/100*$D19*$E19*0.09</f>
        <v>168.105744</v>
      </c>
      <c r="G19" s="13" t="n">
        <f aca="false">F19*0.82</f>
        <v>137.84671008</v>
      </c>
      <c r="H19" s="13" t="n">
        <f aca="false">F19*1.22</f>
        <v>205.08900768</v>
      </c>
      <c r="I19" s="13" t="n">
        <f aca="false">$C19/100*$D19*$E19*0.25</f>
        <v>466.9604</v>
      </c>
      <c r="J19" s="13" t="n">
        <f aca="false">I19*0.8</f>
        <v>373.56832</v>
      </c>
      <c r="K19" s="13" t="n">
        <f aca="false">I19*1.25</f>
        <v>583.7005</v>
      </c>
      <c r="L19" s="13" t="n">
        <f aca="false">$C19/100*$D19*$E19*0.55</f>
        <v>1027.31288</v>
      </c>
      <c r="M19" s="13" t="n">
        <f aca="false">L19*0.78</f>
        <v>801.3040464</v>
      </c>
      <c r="N19" s="13" t="n">
        <f aca="false">L19*1.3</f>
        <v>1335.506744</v>
      </c>
      <c r="O19" s="13" t="n">
        <f aca="false">$C19/100*$D19*$E19*1</f>
        <v>1867.8416</v>
      </c>
      <c r="P19" s="13" t="n">
        <f aca="false">O19*0.75</f>
        <v>1400.8812</v>
      </c>
      <c r="Q19" s="13" t="n">
        <f aca="false">O19*1.35</f>
        <v>2521.58616</v>
      </c>
      <c r="R19" s="46" t="s">
        <v>527</v>
      </c>
    </row>
    <row r="20" customFormat="false" ht="15" hidden="false" customHeight="false" outlineLevel="0" collapsed="false">
      <c r="A20" s="48" t="s">
        <v>1028</v>
      </c>
      <c r="B20" s="48"/>
      <c r="C20" s="49" t="n">
        <f aca="false">SUM(C5:C19)</f>
        <v>237565</v>
      </c>
      <c r="D20" s="48"/>
      <c r="E20" s="48"/>
      <c r="F20" s="49" t="n">
        <f aca="false">SUM(F5:F19)</f>
        <v>5650.094394</v>
      </c>
      <c r="G20" s="49" t="n">
        <f aca="false">SUM(G5:G19)</f>
        <v>4633.07740308</v>
      </c>
      <c r="H20" s="49" t="n">
        <f aca="false">SUM(H5:H19)</f>
        <v>6893.11516068</v>
      </c>
      <c r="I20" s="49" t="n">
        <f aca="false">SUM(I5:I19)</f>
        <v>14356.797924</v>
      </c>
      <c r="J20" s="49" t="n">
        <f aca="false">SUM(J5:J19)</f>
        <v>11485.4383392</v>
      </c>
      <c r="K20" s="49" t="n">
        <f aca="false">SUM(K5:K19)</f>
        <v>17945.997405</v>
      </c>
      <c r="L20" s="49" t="n">
        <f aca="false">SUM(L5:L19)</f>
        <v>33259.731722</v>
      </c>
      <c r="M20" s="49" t="n">
        <f aca="false">SUM(M5:M19)</f>
        <v>25942.59074316</v>
      </c>
      <c r="N20" s="49" t="n">
        <f aca="false">SUM(N5:N19)</f>
        <v>43237.6512386</v>
      </c>
      <c r="O20" s="49" t="n">
        <f aca="false">SUM(O5:O19)</f>
        <v>83081.6182</v>
      </c>
      <c r="P20" s="49" t="n">
        <f aca="false">SUM(P5:P19)</f>
        <v>62311.21365</v>
      </c>
      <c r="Q20" s="49" t="n">
        <f aca="false">SUM(Q5:Q19)</f>
        <v>112160.18457</v>
      </c>
      <c r="R20" s="48"/>
    </row>
    <row r="22" customFormat="false" ht="69.75" hidden="false" customHeight="true" outlineLevel="0" collapsed="false">
      <c r="A22" s="22" t="s">
        <v>1029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</row>
    <row r="24" customFormat="false" ht="55.5" hidden="false" customHeight="true" outlineLevel="0" collapsed="false">
      <c r="A24" s="22" t="s">
        <v>1030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</sheetData>
  <mergeCells count="5">
    <mergeCell ref="A1:R1"/>
    <mergeCell ref="A2:R2"/>
    <mergeCell ref="A20:B20"/>
    <mergeCell ref="A22:R22"/>
    <mergeCell ref="A24:R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6" min="5" style="0" width="13"/>
    <col collapsed="false" customWidth="true" hidden="false" outlineLevel="0" max="7" min="7" style="0" width="28"/>
    <col collapsed="false" customWidth="true" hidden="false" outlineLevel="0" max="8" min="8" style="0" width="13"/>
    <col collapsed="false" customWidth="true" hidden="false" outlineLevel="0" max="9" min="9" style="0" width="34"/>
    <col collapsed="false" customWidth="true" hidden="false" outlineLevel="0" max="10" min="10" style="0" width="30"/>
  </cols>
  <sheetData>
    <row r="1" customFormat="false" ht="25.5" hidden="false" customHeight="true" outlineLevel="0" collapsed="false">
      <c r="A1" s="1" t="s">
        <v>1031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1032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9.75" hidden="false" customHeight="true" outlineLevel="0" collapsed="false">
      <c r="A4" s="11" t="s">
        <v>1033</v>
      </c>
      <c r="B4" s="11" t="s">
        <v>1034</v>
      </c>
      <c r="C4" s="11" t="s">
        <v>902</v>
      </c>
      <c r="D4" s="11" t="s">
        <v>1035</v>
      </c>
      <c r="E4" s="11" t="s">
        <v>901</v>
      </c>
      <c r="F4" s="11" t="s">
        <v>1036</v>
      </c>
      <c r="G4" s="11" t="s">
        <v>1037</v>
      </c>
      <c r="H4" s="11" t="s">
        <v>1038</v>
      </c>
      <c r="I4" s="11" t="s">
        <v>1039</v>
      </c>
      <c r="J4" s="11" t="s">
        <v>505</v>
      </c>
    </row>
    <row r="5" customFormat="false" ht="15" hidden="false" customHeight="false" outlineLevel="0" collapsed="false">
      <c r="A5" s="12" t="s">
        <v>1040</v>
      </c>
      <c r="B5" s="12" t="s">
        <v>1041</v>
      </c>
      <c r="C5" s="62" t="n">
        <v>45</v>
      </c>
      <c r="D5" s="12" t="s">
        <v>1042</v>
      </c>
      <c r="E5" s="61" t="n">
        <v>24.5</v>
      </c>
      <c r="F5" s="68" t="n">
        <v>3.2</v>
      </c>
      <c r="G5" s="12" t="s">
        <v>1043</v>
      </c>
      <c r="H5" s="12" t="s">
        <v>1044</v>
      </c>
      <c r="I5" s="12" t="s">
        <v>1045</v>
      </c>
      <c r="J5" s="12" t="s">
        <v>1046</v>
      </c>
    </row>
    <row r="6" customFormat="false" ht="15" hidden="false" customHeight="false" outlineLevel="0" collapsed="false">
      <c r="A6" s="14" t="s">
        <v>1047</v>
      </c>
      <c r="B6" s="14" t="s">
        <v>508</v>
      </c>
      <c r="C6" s="64" t="n">
        <v>38</v>
      </c>
      <c r="D6" s="14" t="s">
        <v>1048</v>
      </c>
      <c r="E6" s="63" t="n">
        <v>16.8</v>
      </c>
      <c r="F6" s="69" t="n">
        <v>4.8</v>
      </c>
      <c r="G6" s="14" t="s">
        <v>1049</v>
      </c>
      <c r="H6" s="14" t="s">
        <v>1044</v>
      </c>
      <c r="I6" s="14" t="s">
        <v>1050</v>
      </c>
      <c r="J6" s="14" t="s">
        <v>1051</v>
      </c>
    </row>
    <row r="7" customFormat="false" ht="15" hidden="false" customHeight="false" outlineLevel="0" collapsed="false">
      <c r="A7" s="12" t="s">
        <v>1052</v>
      </c>
      <c r="B7" s="12" t="s">
        <v>1053</v>
      </c>
      <c r="C7" s="62" t="n">
        <v>32</v>
      </c>
      <c r="D7" s="12" t="s">
        <v>1054</v>
      </c>
      <c r="E7" s="61" t="n">
        <v>13.2</v>
      </c>
      <c r="F7" s="68" t="n">
        <v>2.9</v>
      </c>
      <c r="G7" s="12" t="s">
        <v>1055</v>
      </c>
      <c r="H7" s="12" t="s">
        <v>1044</v>
      </c>
      <c r="I7" s="12" t="s">
        <v>1056</v>
      </c>
      <c r="J7" s="12" t="s">
        <v>1057</v>
      </c>
    </row>
    <row r="8" customFormat="false" ht="15" hidden="false" customHeight="false" outlineLevel="0" collapsed="false">
      <c r="A8" s="14" t="s">
        <v>1058</v>
      </c>
      <c r="B8" s="14" t="s">
        <v>1059</v>
      </c>
      <c r="C8" s="64" t="n">
        <v>22</v>
      </c>
      <c r="D8" s="14" t="s">
        <v>1060</v>
      </c>
      <c r="E8" s="63" t="n">
        <v>18.4</v>
      </c>
      <c r="F8" s="69" t="n">
        <v>2.4</v>
      </c>
      <c r="G8" s="14" t="s">
        <v>1061</v>
      </c>
      <c r="H8" s="14" t="s">
        <v>1062</v>
      </c>
      <c r="I8" s="14" t="s">
        <v>1063</v>
      </c>
      <c r="J8" s="14" t="s">
        <v>1064</v>
      </c>
    </row>
    <row r="9" customFormat="false" ht="15" hidden="false" customHeight="false" outlineLevel="0" collapsed="false">
      <c r="A9" s="12" t="s">
        <v>1065</v>
      </c>
      <c r="B9" s="12" t="s">
        <v>1066</v>
      </c>
      <c r="C9" s="62" t="n">
        <v>19</v>
      </c>
      <c r="D9" s="12" t="s">
        <v>1067</v>
      </c>
      <c r="E9" s="61" t="n">
        <v>32</v>
      </c>
      <c r="F9" s="68" t="n">
        <v>2.1</v>
      </c>
      <c r="G9" s="12" t="s">
        <v>1068</v>
      </c>
      <c r="H9" s="12" t="s">
        <v>1062</v>
      </c>
      <c r="I9" s="12" t="s">
        <v>1069</v>
      </c>
      <c r="J9" s="12" t="s">
        <v>1070</v>
      </c>
    </row>
    <row r="10" customFormat="false" ht="15" hidden="false" customHeight="false" outlineLevel="0" collapsed="false">
      <c r="A10" s="14" t="s">
        <v>1071</v>
      </c>
      <c r="B10" s="14" t="s">
        <v>603</v>
      </c>
      <c r="C10" s="64" t="n">
        <v>21</v>
      </c>
      <c r="D10" s="14" t="s">
        <v>1072</v>
      </c>
      <c r="E10" s="63" t="n">
        <v>6.8</v>
      </c>
      <c r="F10" s="69" t="n">
        <v>1.6</v>
      </c>
      <c r="G10" s="14" t="s">
        <v>1073</v>
      </c>
      <c r="H10" s="14" t="s">
        <v>1044</v>
      </c>
      <c r="I10" s="14" t="s">
        <v>1074</v>
      </c>
      <c r="J10" s="14" t="s">
        <v>1075</v>
      </c>
    </row>
    <row r="11" customFormat="false" ht="15" hidden="false" customHeight="false" outlineLevel="0" collapsed="false">
      <c r="A11" s="12" t="s">
        <v>1076</v>
      </c>
      <c r="B11" s="12" t="s">
        <v>1077</v>
      </c>
      <c r="C11" s="62" t="n">
        <v>18</v>
      </c>
      <c r="D11" s="12" t="s">
        <v>1078</v>
      </c>
      <c r="E11" s="61" t="n">
        <v>3.6</v>
      </c>
      <c r="F11" s="68" t="n">
        <v>1.3</v>
      </c>
      <c r="G11" s="12" t="s">
        <v>1079</v>
      </c>
      <c r="H11" s="12" t="s">
        <v>1062</v>
      </c>
      <c r="I11" s="12" t="s">
        <v>1080</v>
      </c>
      <c r="J11" s="12" t="s">
        <v>1081</v>
      </c>
    </row>
    <row r="12" customFormat="false" ht="15" hidden="false" customHeight="false" outlineLevel="0" collapsed="false">
      <c r="A12" s="14" t="s">
        <v>1082</v>
      </c>
      <c r="B12" s="14" t="s">
        <v>1083</v>
      </c>
      <c r="C12" s="64" t="n">
        <v>15</v>
      </c>
      <c r="D12" s="14" t="s">
        <v>1084</v>
      </c>
      <c r="E12" s="63" t="n">
        <v>14.5</v>
      </c>
      <c r="F12" s="69" t="n">
        <v>2.2</v>
      </c>
      <c r="G12" s="14" t="s">
        <v>1085</v>
      </c>
      <c r="H12" s="14" t="s">
        <v>1062</v>
      </c>
      <c r="I12" s="14" t="s">
        <v>1086</v>
      </c>
      <c r="J12" s="14" t="s">
        <v>1087</v>
      </c>
    </row>
    <row r="13" customFormat="false" ht="15" hidden="false" customHeight="false" outlineLevel="0" collapsed="false">
      <c r="A13" s="12" t="s">
        <v>1088</v>
      </c>
      <c r="B13" s="12" t="s">
        <v>1089</v>
      </c>
      <c r="C13" s="62" t="n">
        <v>14</v>
      </c>
      <c r="D13" s="12" t="s">
        <v>1090</v>
      </c>
      <c r="E13" s="61" t="n">
        <v>11.2</v>
      </c>
      <c r="F13" s="68" t="n">
        <v>1.9</v>
      </c>
      <c r="G13" s="12" t="s">
        <v>1091</v>
      </c>
      <c r="H13" s="12" t="s">
        <v>1062</v>
      </c>
      <c r="I13" s="12" t="s">
        <v>1092</v>
      </c>
      <c r="J13" s="12" t="s">
        <v>1075</v>
      </c>
    </row>
    <row r="14" customFormat="false" ht="15" hidden="false" customHeight="false" outlineLevel="0" collapsed="false">
      <c r="A14" s="14" t="s">
        <v>1093</v>
      </c>
      <c r="B14" s="14" t="s">
        <v>1094</v>
      </c>
      <c r="C14" s="64" t="n">
        <v>15</v>
      </c>
      <c r="D14" s="14" t="s">
        <v>1095</v>
      </c>
      <c r="E14" s="63" t="n">
        <v>9.8</v>
      </c>
      <c r="F14" s="69" t="n">
        <v>1.7</v>
      </c>
      <c r="G14" s="14" t="s">
        <v>1096</v>
      </c>
      <c r="H14" s="14" t="s">
        <v>1062</v>
      </c>
      <c r="I14" s="14" t="s">
        <v>1087</v>
      </c>
      <c r="J14" s="14" t="s">
        <v>1075</v>
      </c>
    </row>
    <row r="15" customFormat="false" ht="15" hidden="false" customHeight="false" outlineLevel="0" collapsed="false">
      <c r="A15" s="12" t="s">
        <v>1097</v>
      </c>
      <c r="B15" s="12" t="s">
        <v>727</v>
      </c>
      <c r="C15" s="62" t="n">
        <v>16</v>
      </c>
      <c r="D15" s="12" t="s">
        <v>1098</v>
      </c>
      <c r="E15" s="61" t="n">
        <v>17.6</v>
      </c>
      <c r="F15" s="68" t="n">
        <v>2</v>
      </c>
      <c r="G15" s="12" t="s">
        <v>1099</v>
      </c>
      <c r="H15" s="12" t="s">
        <v>1062</v>
      </c>
      <c r="I15" s="12" t="s">
        <v>1100</v>
      </c>
      <c r="J15" s="12" t="s">
        <v>1101</v>
      </c>
    </row>
    <row r="16" customFormat="false" ht="15" hidden="false" customHeight="false" outlineLevel="0" collapsed="false">
      <c r="A16" s="14" t="s">
        <v>1102</v>
      </c>
      <c r="B16" s="14" t="s">
        <v>1103</v>
      </c>
      <c r="C16" s="64" t="n">
        <v>16</v>
      </c>
      <c r="D16" s="14" t="s">
        <v>1104</v>
      </c>
      <c r="E16" s="63" t="n">
        <v>8.4</v>
      </c>
      <c r="F16" s="69" t="n">
        <v>1.8</v>
      </c>
      <c r="G16" s="14" t="s">
        <v>1105</v>
      </c>
      <c r="H16" s="14" t="s">
        <v>1062</v>
      </c>
      <c r="I16" s="14" t="s">
        <v>1106</v>
      </c>
      <c r="J16" s="14" t="s">
        <v>1107</v>
      </c>
    </row>
    <row r="17" customFormat="false" ht="15" hidden="false" customHeight="false" outlineLevel="0" collapsed="false">
      <c r="A17" s="12" t="s">
        <v>1108</v>
      </c>
      <c r="B17" s="12" t="s">
        <v>206</v>
      </c>
      <c r="C17" s="62" t="n">
        <v>7</v>
      </c>
      <c r="D17" s="12" t="s">
        <v>1109</v>
      </c>
      <c r="E17" s="61" t="n">
        <v>15.4</v>
      </c>
      <c r="F17" s="68" t="n">
        <v>1.5</v>
      </c>
      <c r="G17" s="12" t="s">
        <v>1110</v>
      </c>
      <c r="H17" s="12" t="s">
        <v>1111</v>
      </c>
      <c r="I17" s="12" t="s">
        <v>1112</v>
      </c>
      <c r="J17" s="12" t="s">
        <v>1081</v>
      </c>
    </row>
    <row r="18" customFormat="false" ht="15" hidden="false" customHeight="false" outlineLevel="0" collapsed="false">
      <c r="A18" s="14" t="s">
        <v>1113</v>
      </c>
      <c r="B18" s="14" t="s">
        <v>1114</v>
      </c>
      <c r="C18" s="64" t="n">
        <v>-15</v>
      </c>
      <c r="D18" s="14" t="s">
        <v>1072</v>
      </c>
      <c r="E18" s="63" t="n">
        <v>6.2</v>
      </c>
      <c r="F18" s="69" t="n">
        <v>0.7</v>
      </c>
      <c r="G18" s="14" t="s">
        <v>1115</v>
      </c>
      <c r="H18" s="14" t="s">
        <v>1116</v>
      </c>
      <c r="I18" s="14" t="s">
        <v>1117</v>
      </c>
      <c r="J18" s="14" t="s">
        <v>1118</v>
      </c>
    </row>
    <row r="19" customFormat="false" ht="15" hidden="false" customHeight="false" outlineLevel="0" collapsed="false">
      <c r="A19" s="12" t="s">
        <v>1119</v>
      </c>
      <c r="B19" s="12" t="s">
        <v>1120</v>
      </c>
      <c r="C19" s="62" t="n">
        <v>1</v>
      </c>
      <c r="D19" s="12" t="s">
        <v>1121</v>
      </c>
      <c r="E19" s="61" t="n">
        <v>12.8</v>
      </c>
      <c r="F19" s="68" t="n">
        <v>1</v>
      </c>
      <c r="G19" s="12" t="s">
        <v>1122</v>
      </c>
      <c r="H19" s="12" t="s">
        <v>1123</v>
      </c>
      <c r="I19" s="12" t="s">
        <v>1124</v>
      </c>
      <c r="J19" s="12" t="s">
        <v>1075</v>
      </c>
    </row>
  </sheetData>
  <mergeCells count="2">
    <mergeCell ref="A1:J1"/>
    <mergeCell ref="A2:J2"/>
  </mergeCells>
  <conditionalFormatting sqref="C5:C19">
    <cfRule type="colorScale" priority="2">
      <colorScale>
        <cfvo type="min" val="0"/>
        <cfvo type="num" val="0"/>
        <cfvo type="max" val="0"/>
        <color rgb="FFF2A6A0"/>
        <color rgb="FFFFFFFF"/>
        <color rgb="FFA8D8B9"/>
      </colorScale>
    </cfRule>
  </conditionalFormatting>
  <conditionalFormatting sqref="F5:F19">
    <cfRule type="dataBar" priority="3">
      <dataBar showValue="1" minLength="10" maxLength="90">
        <cfvo type="min" val="0"/>
        <cfvo type="max" val="5"/>
        <color rgb="FF0F7173"/>
      </dataBar>
      <extLst>
        <ext xmlns:x14="http://schemas.microsoft.com/office/spreadsheetml/2009/9/main" uri="{B025F937-C7B1-47D3-B67F-A62EFF666E3E}">
          <x14:id>{C44BBEE0-F5C9-4BB4-9AD1-762FCAFD8DE0}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4BBEE0-F5C9-4BB4-9AD1-762FCAFD8DE0}">
            <x14:dataBar minLength="10" maxLength="90" axisPosition="none" gradient="true">
              <x14:cfvo type="min"/>
              <x14:cfvo type="max"/>
              <x14:negativeFillColor rgb="FF0F7173"/>
              <x14:axisColor rgb="FF000000"/>
            </x14:dataBar>
          </x14:cfRule>
          <xm:sqref>F5:F19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40"/>
    <col collapsed="false" customWidth="true" hidden="false" outlineLevel="0" max="9" min="9" style="0" width="30"/>
  </cols>
  <sheetData>
    <row r="1" customFormat="false" ht="25.5" hidden="false" customHeight="true" outlineLevel="0" collapsed="false">
      <c r="A1" s="1" t="s">
        <v>1125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1126</v>
      </c>
      <c r="B2" s="2"/>
      <c r="C2" s="2"/>
      <c r="D2" s="2"/>
      <c r="E2" s="2"/>
      <c r="F2" s="2"/>
      <c r="G2" s="2"/>
      <c r="H2" s="2"/>
      <c r="I2" s="2"/>
    </row>
    <row r="4" customFormat="false" ht="36" hidden="false" customHeight="true" outlineLevel="0" collapsed="false">
      <c r="A4" s="11" t="s">
        <v>1127</v>
      </c>
      <c r="B4" s="11" t="s">
        <v>495</v>
      </c>
      <c r="C4" s="11" t="s">
        <v>1128</v>
      </c>
      <c r="D4" s="11" t="s">
        <v>1129</v>
      </c>
      <c r="E4" s="11" t="s">
        <v>1130</v>
      </c>
      <c r="F4" s="11" t="s">
        <v>502</v>
      </c>
      <c r="G4" s="11" t="s">
        <v>1131</v>
      </c>
      <c r="H4" s="11" t="s">
        <v>1132</v>
      </c>
      <c r="I4" s="11" t="s">
        <v>505</v>
      </c>
    </row>
    <row r="5" customFormat="false" ht="15" hidden="false" customHeight="false" outlineLevel="0" collapsed="false">
      <c r="A5" s="12" t="s">
        <v>1133</v>
      </c>
      <c r="B5" s="12" t="s">
        <v>508</v>
      </c>
      <c r="C5" s="12" t="s">
        <v>1134</v>
      </c>
      <c r="D5" s="61" t="n">
        <v>91000</v>
      </c>
      <c r="E5" s="13" t="n">
        <v>8000</v>
      </c>
      <c r="F5" s="12" t="s">
        <v>511</v>
      </c>
      <c r="G5" s="12" t="s">
        <v>1135</v>
      </c>
      <c r="H5" s="12" t="s">
        <v>1136</v>
      </c>
      <c r="I5" s="12" t="s">
        <v>1137</v>
      </c>
    </row>
    <row r="6" customFormat="false" ht="15" hidden="false" customHeight="false" outlineLevel="0" collapsed="false">
      <c r="A6" s="14" t="s">
        <v>1138</v>
      </c>
      <c r="B6" s="14" t="s">
        <v>508</v>
      </c>
      <c r="C6" s="14" t="s">
        <v>1139</v>
      </c>
      <c r="D6" s="63" t="n">
        <v>22500</v>
      </c>
      <c r="E6" s="15" t="n">
        <v>5000</v>
      </c>
      <c r="F6" s="14" t="s">
        <v>1140</v>
      </c>
      <c r="G6" s="14" t="s">
        <v>1141</v>
      </c>
      <c r="H6" s="14" t="s">
        <v>1142</v>
      </c>
      <c r="I6" s="14" t="s">
        <v>1143</v>
      </c>
    </row>
    <row r="7" customFormat="false" ht="15" hidden="false" customHeight="false" outlineLevel="0" collapsed="false">
      <c r="A7" s="12" t="s">
        <v>1144</v>
      </c>
      <c r="B7" s="12" t="s">
        <v>1145</v>
      </c>
      <c r="C7" s="12" t="s">
        <v>1146</v>
      </c>
      <c r="D7" s="61" t="n">
        <v>70000</v>
      </c>
      <c r="E7" s="13" t="n">
        <v>10000</v>
      </c>
      <c r="F7" s="12" t="s">
        <v>1147</v>
      </c>
      <c r="G7" s="12" t="s">
        <v>1148</v>
      </c>
      <c r="H7" s="12" t="s">
        <v>1149</v>
      </c>
      <c r="I7" s="12" t="s">
        <v>616</v>
      </c>
    </row>
    <row r="8" customFormat="false" ht="15" hidden="false" customHeight="false" outlineLevel="0" collapsed="false">
      <c r="A8" s="14" t="s">
        <v>1150</v>
      </c>
      <c r="B8" s="14" t="s">
        <v>1151</v>
      </c>
      <c r="C8" s="14" t="s">
        <v>1152</v>
      </c>
      <c r="D8" s="63" t="n">
        <v>1027000</v>
      </c>
      <c r="E8" s="15" t="n">
        <v>600000</v>
      </c>
      <c r="F8" s="14" t="s">
        <v>1153</v>
      </c>
      <c r="G8" s="14" t="s">
        <v>1154</v>
      </c>
      <c r="H8" s="14" t="s">
        <v>1155</v>
      </c>
      <c r="I8" s="14" t="s">
        <v>1156</v>
      </c>
    </row>
    <row r="9" customFormat="false" ht="15" hidden="false" customHeight="false" outlineLevel="0" collapsed="false">
      <c r="A9" s="12" t="s">
        <v>1157</v>
      </c>
      <c r="B9" s="12" t="s">
        <v>1158</v>
      </c>
      <c r="C9" s="12" t="s">
        <v>1159</v>
      </c>
      <c r="D9" s="61" t="n">
        <v>4600</v>
      </c>
      <c r="E9" s="13" t="n">
        <v>3200</v>
      </c>
      <c r="F9" s="12" t="s">
        <v>525</v>
      </c>
      <c r="G9" s="12" t="s">
        <v>1160</v>
      </c>
      <c r="H9" s="12" t="s">
        <v>1161</v>
      </c>
      <c r="I9" s="12" t="s">
        <v>559</v>
      </c>
    </row>
    <row r="10" customFormat="false" ht="15" hidden="false" customHeight="false" outlineLevel="0" collapsed="false">
      <c r="A10" s="14" t="s">
        <v>1162</v>
      </c>
      <c r="B10" s="14" t="s">
        <v>1163</v>
      </c>
      <c r="C10" s="14" t="s">
        <v>1164</v>
      </c>
      <c r="D10" s="63" t="n">
        <v>135371</v>
      </c>
      <c r="E10" s="15" t="n">
        <v>100000</v>
      </c>
      <c r="F10" s="14" t="s">
        <v>525</v>
      </c>
      <c r="G10" s="14" t="s">
        <v>1135</v>
      </c>
      <c r="H10" s="14" t="s">
        <v>1165</v>
      </c>
      <c r="I10" s="14" t="s">
        <v>1166</v>
      </c>
    </row>
    <row r="11" customFormat="false" ht="15" hidden="false" customHeight="false" outlineLevel="0" collapsed="false">
      <c r="A11" s="12" t="s">
        <v>1167</v>
      </c>
      <c r="B11" s="12" t="s">
        <v>562</v>
      </c>
      <c r="C11" s="12" t="s">
        <v>1168</v>
      </c>
      <c r="D11" s="61" t="n">
        <v>1500</v>
      </c>
      <c r="E11" s="13" t="n">
        <v>1100</v>
      </c>
      <c r="F11" s="12" t="s">
        <v>525</v>
      </c>
      <c r="G11" s="12" t="s">
        <v>1160</v>
      </c>
      <c r="H11" s="12" t="s">
        <v>1169</v>
      </c>
      <c r="I11" s="12" t="s">
        <v>559</v>
      </c>
    </row>
    <row r="12" customFormat="false" ht="15" hidden="false" customHeight="false" outlineLevel="0" collapsed="false">
      <c r="A12" s="14" t="s">
        <v>1170</v>
      </c>
      <c r="B12" s="14" t="s">
        <v>1171</v>
      </c>
      <c r="C12" s="14" t="s">
        <v>1172</v>
      </c>
      <c r="D12" s="63" t="n">
        <v>4651</v>
      </c>
      <c r="E12" s="15" t="n">
        <v>1166</v>
      </c>
      <c r="F12" s="14" t="s">
        <v>525</v>
      </c>
      <c r="G12" s="14" t="s">
        <v>537</v>
      </c>
      <c r="H12" s="14" t="s">
        <v>1173</v>
      </c>
      <c r="I12" s="14" t="s">
        <v>616</v>
      </c>
    </row>
    <row r="13" customFormat="false" ht="15" hidden="false" customHeight="false" outlineLevel="0" collapsed="false">
      <c r="A13" s="12" t="s">
        <v>1174</v>
      </c>
      <c r="B13" s="12" t="s">
        <v>1175</v>
      </c>
      <c r="C13" s="12" t="s">
        <v>1176</v>
      </c>
      <c r="D13" s="61" t="n">
        <v>3700</v>
      </c>
      <c r="E13" s="13" t="n">
        <v>2000</v>
      </c>
      <c r="F13" s="12" t="s">
        <v>511</v>
      </c>
      <c r="G13" s="12" t="s">
        <v>537</v>
      </c>
      <c r="H13" s="12" t="s">
        <v>1177</v>
      </c>
      <c r="I13" s="12" t="s">
        <v>336</v>
      </c>
    </row>
    <row r="14" customFormat="false" ht="15" hidden="false" customHeight="false" outlineLevel="0" collapsed="false">
      <c r="A14" s="14" t="s">
        <v>1178</v>
      </c>
      <c r="B14" s="14" t="s">
        <v>1179</v>
      </c>
      <c r="C14" s="14" t="s">
        <v>1139</v>
      </c>
      <c r="D14" s="63" t="n">
        <v>7600</v>
      </c>
      <c r="E14" s="15" t="n">
        <v>1800</v>
      </c>
      <c r="F14" s="14" t="s">
        <v>1140</v>
      </c>
      <c r="G14" s="14" t="s">
        <v>520</v>
      </c>
      <c r="H14" s="14" t="s">
        <v>1180</v>
      </c>
      <c r="I14" s="14" t="s">
        <v>543</v>
      </c>
    </row>
    <row r="15" customFormat="false" ht="15" hidden="false" customHeight="false" outlineLevel="0" collapsed="false">
      <c r="A15" s="12" t="s">
        <v>1181</v>
      </c>
      <c r="B15" s="12" t="s">
        <v>697</v>
      </c>
      <c r="C15" s="12" t="s">
        <v>1182</v>
      </c>
      <c r="D15" s="61"/>
      <c r="E15" s="13" t="n">
        <v>2500</v>
      </c>
      <c r="F15" s="12" t="s">
        <v>699</v>
      </c>
      <c r="G15" s="12" t="s">
        <v>536</v>
      </c>
      <c r="H15" s="12" t="s">
        <v>1183</v>
      </c>
      <c r="I15" s="12" t="s">
        <v>1184</v>
      </c>
    </row>
    <row r="16" customFormat="false" ht="15" hidden="false" customHeight="false" outlineLevel="0" collapsed="false">
      <c r="A16" s="14" t="s">
        <v>582</v>
      </c>
      <c r="B16" s="14" t="s">
        <v>1185</v>
      </c>
      <c r="C16" s="14" t="s">
        <v>84</v>
      </c>
      <c r="D16" s="63" t="n">
        <v>1622</v>
      </c>
      <c r="E16" s="15" t="n">
        <v>1200</v>
      </c>
      <c r="F16" s="14" t="s">
        <v>525</v>
      </c>
      <c r="G16" s="14" t="s">
        <v>1186</v>
      </c>
      <c r="H16" s="14" t="s">
        <v>1187</v>
      </c>
      <c r="I16" s="14" t="s">
        <v>1188</v>
      </c>
    </row>
    <row r="17" customFormat="false" ht="15" hidden="false" customHeight="false" outlineLevel="0" collapsed="false">
      <c r="A17" s="12" t="s">
        <v>1189</v>
      </c>
      <c r="B17" s="12" t="s">
        <v>579</v>
      </c>
      <c r="C17" s="12" t="s">
        <v>1190</v>
      </c>
      <c r="D17" s="61" t="n">
        <v>542</v>
      </c>
      <c r="E17" s="13" t="n">
        <v>1312</v>
      </c>
      <c r="F17" s="12" t="s">
        <v>525</v>
      </c>
      <c r="G17" s="12" t="s">
        <v>1186</v>
      </c>
      <c r="H17" s="12" t="s">
        <v>1191</v>
      </c>
      <c r="I17" s="12" t="s">
        <v>1188</v>
      </c>
    </row>
    <row r="18" customFormat="false" ht="15" hidden="false" customHeight="false" outlineLevel="0" collapsed="false">
      <c r="A18" s="14" t="s">
        <v>1192</v>
      </c>
      <c r="B18" s="14" t="s">
        <v>1193</v>
      </c>
      <c r="C18" s="14" t="s">
        <v>668</v>
      </c>
      <c r="D18" s="63"/>
      <c r="E18" s="15" t="n">
        <v>1800</v>
      </c>
      <c r="F18" s="14" t="s">
        <v>699</v>
      </c>
      <c r="G18" s="14" t="s">
        <v>536</v>
      </c>
      <c r="H18" s="14" t="s">
        <v>1194</v>
      </c>
      <c r="I18" s="14" t="s">
        <v>1195</v>
      </c>
    </row>
    <row r="19" customFormat="false" ht="15" hidden="false" customHeight="false" outlineLevel="0" collapsed="false">
      <c r="A19" s="12" t="s">
        <v>570</v>
      </c>
      <c r="B19" s="12" t="s">
        <v>571</v>
      </c>
      <c r="C19" s="12" t="s">
        <v>84</v>
      </c>
      <c r="D19" s="61" t="n">
        <v>9298</v>
      </c>
      <c r="E19" s="13" t="n">
        <v>806</v>
      </c>
      <c r="F19" s="12" t="s">
        <v>525</v>
      </c>
      <c r="G19" s="12" t="s">
        <v>1186</v>
      </c>
      <c r="H19" s="12" t="s">
        <v>1196</v>
      </c>
      <c r="I19" s="12" t="s">
        <v>1188</v>
      </c>
    </row>
    <row r="20" customFormat="false" ht="15" hidden="false" customHeight="false" outlineLevel="0" collapsed="false">
      <c r="A20" s="14" t="s">
        <v>1197</v>
      </c>
      <c r="B20" s="14" t="s">
        <v>140</v>
      </c>
      <c r="C20" s="14" t="s">
        <v>1198</v>
      </c>
      <c r="D20" s="63" t="n">
        <v>443.5</v>
      </c>
      <c r="E20" s="15" t="n">
        <v>950</v>
      </c>
      <c r="F20" s="14" t="s">
        <v>525</v>
      </c>
      <c r="G20" s="14" t="s">
        <v>1186</v>
      </c>
      <c r="H20" s="14" t="s">
        <v>1199</v>
      </c>
      <c r="I20" s="14" t="s">
        <v>592</v>
      </c>
    </row>
    <row r="21" customFormat="false" ht="15" hidden="false" customHeight="false" outlineLevel="0" collapsed="false">
      <c r="A21" s="12" t="s">
        <v>1200</v>
      </c>
      <c r="B21" s="12" t="s">
        <v>1201</v>
      </c>
      <c r="C21" s="12" t="s">
        <v>1190</v>
      </c>
      <c r="D21" s="61" t="n">
        <v>494.65</v>
      </c>
      <c r="E21" s="13" t="n">
        <v>1100</v>
      </c>
      <c r="F21" s="12" t="s">
        <v>525</v>
      </c>
      <c r="G21" s="12" t="s">
        <v>1160</v>
      </c>
      <c r="H21" s="12" t="s">
        <v>1202</v>
      </c>
      <c r="I21" s="12" t="s">
        <v>592</v>
      </c>
    </row>
    <row r="22" customFormat="false" ht="15" hidden="false" customHeight="false" outlineLevel="0" collapsed="false">
      <c r="A22" s="14" t="s">
        <v>1203</v>
      </c>
      <c r="B22" s="14" t="s">
        <v>1204</v>
      </c>
      <c r="C22" s="14" t="s">
        <v>1146</v>
      </c>
      <c r="D22" s="63" t="n">
        <v>1740</v>
      </c>
      <c r="E22" s="15" t="n">
        <v>400</v>
      </c>
      <c r="F22" s="14" t="s">
        <v>525</v>
      </c>
      <c r="G22" s="14" t="s">
        <v>537</v>
      </c>
      <c r="H22" s="14" t="s">
        <v>1205</v>
      </c>
      <c r="I22" s="14" t="s">
        <v>616</v>
      </c>
    </row>
    <row r="23" customFormat="false" ht="15" hidden="false" customHeight="false" outlineLevel="0" collapsed="false">
      <c r="A23" s="12" t="s">
        <v>1206</v>
      </c>
      <c r="B23" s="12" t="s">
        <v>575</v>
      </c>
      <c r="C23" s="12" t="s">
        <v>84</v>
      </c>
      <c r="D23" s="61" t="n">
        <v>1251</v>
      </c>
      <c r="E23" s="13" t="n">
        <v>1912</v>
      </c>
      <c r="F23" s="12" t="s">
        <v>525</v>
      </c>
      <c r="G23" s="12" t="s">
        <v>1186</v>
      </c>
      <c r="H23" s="12" t="s">
        <v>1207</v>
      </c>
      <c r="I23" s="12" t="s">
        <v>1188</v>
      </c>
    </row>
    <row r="24" customFormat="false" ht="15" hidden="false" customHeight="false" outlineLevel="0" collapsed="false">
      <c r="A24" s="14" t="s">
        <v>1208</v>
      </c>
      <c r="B24" s="14" t="s">
        <v>1209</v>
      </c>
      <c r="C24" s="14" t="s">
        <v>1134</v>
      </c>
      <c r="D24" s="63" t="n">
        <v>2800</v>
      </c>
      <c r="E24" s="15" t="n">
        <v>1400</v>
      </c>
      <c r="F24" s="14" t="s">
        <v>525</v>
      </c>
      <c r="G24" s="14" t="s">
        <v>537</v>
      </c>
      <c r="H24" s="14" t="s">
        <v>1210</v>
      </c>
      <c r="I24" s="14" t="s">
        <v>351</v>
      </c>
    </row>
  </sheetData>
  <mergeCells count="2">
    <mergeCell ref="A1:I1"/>
    <mergeCell ref="A2:I2"/>
  </mergeCells>
  <conditionalFormatting sqref="E5:E24">
    <cfRule type="dataBar" priority="2">
      <dataBar showValue="1" minLength="10" maxLength="90">
        <cfvo type="min" val="0"/>
        <cfvo type="max" val="100000"/>
        <color rgb="FFFF8B3D"/>
      </dataBar>
      <extLst>
        <ext xmlns:x14="http://schemas.microsoft.com/office/spreadsheetml/2009/9/main" uri="{B025F937-C7B1-47D3-B67F-A62EFF666E3E}">
          <x14:id>{982A1EC3-AD89-433C-8AFA-E4F4B2BA31E9}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2A1EC3-AD89-433C-8AFA-E4F4B2BA31E9}">
            <x14:dataBar minLength="10" maxLength="90" axisPosition="none" gradient="true">
              <x14:cfvo type="min"/>
              <x14:cfvo type="max"/>
              <x14:negativeFillColor rgb="FFFF8B3D"/>
              <x14:axisColor rgb="FF000000"/>
            </x14:dataBar>
          </x14:cfRule>
          <xm:sqref>E5:E24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4" min="2" style="0" width="12"/>
  </cols>
  <sheetData>
    <row r="1" customFormat="false" ht="25.5" hidden="false" customHeight="true" outlineLevel="0" collapsed="false">
      <c r="A1" s="1" t="s">
        <v>1211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1212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43.5" hidden="false" customHeight="true" outlineLevel="0" collapsed="false">
      <c r="A4" s="11" t="s">
        <v>1213</v>
      </c>
      <c r="B4" s="11" t="s">
        <v>1214</v>
      </c>
      <c r="C4" s="11" t="s">
        <v>1215</v>
      </c>
      <c r="D4" s="11" t="s">
        <v>1216</v>
      </c>
      <c r="E4" s="11" t="s">
        <v>1217</v>
      </c>
      <c r="F4" s="11" t="s">
        <v>587</v>
      </c>
      <c r="G4" s="11" t="s">
        <v>1218</v>
      </c>
      <c r="H4" s="11" t="s">
        <v>1219</v>
      </c>
      <c r="I4" s="11" t="s">
        <v>1220</v>
      </c>
      <c r="J4" s="11" t="s">
        <v>1221</v>
      </c>
      <c r="K4" s="11" t="s">
        <v>1077</v>
      </c>
      <c r="L4" s="11" t="s">
        <v>1222</v>
      </c>
      <c r="M4" s="11" t="s">
        <v>1223</v>
      </c>
      <c r="N4" s="11" t="s">
        <v>1224</v>
      </c>
    </row>
    <row r="5" customFormat="false" ht="15" hidden="false" customHeight="false" outlineLevel="0" collapsed="false">
      <c r="A5" s="70" t="s">
        <v>85</v>
      </c>
      <c r="B5" s="71" t="n">
        <v>72</v>
      </c>
      <c r="C5" s="71" t="n">
        <v>88</v>
      </c>
      <c r="D5" s="71" t="n">
        <v>58</v>
      </c>
      <c r="E5" s="71" t="n">
        <v>52</v>
      </c>
      <c r="F5" s="71" t="n">
        <v>46</v>
      </c>
      <c r="G5" s="71" t="n">
        <v>81</v>
      </c>
      <c r="H5" s="71" t="n">
        <v>86</v>
      </c>
      <c r="I5" s="71" t="n">
        <v>84</v>
      </c>
      <c r="J5" s="71" t="n">
        <v>58</v>
      </c>
      <c r="K5" s="71" t="n">
        <v>62</v>
      </c>
      <c r="L5" s="71" t="n">
        <v>77</v>
      </c>
      <c r="M5" s="71" t="n">
        <v>64</v>
      </c>
      <c r="N5" s="71" t="n">
        <v>74</v>
      </c>
    </row>
    <row r="6" customFormat="false" ht="15" hidden="false" customHeight="false" outlineLevel="0" collapsed="false">
      <c r="A6" s="70" t="s">
        <v>84</v>
      </c>
      <c r="B6" s="71" t="n">
        <v>70</v>
      </c>
      <c r="C6" s="71" t="n">
        <v>82</v>
      </c>
      <c r="D6" s="71" t="n">
        <v>44</v>
      </c>
      <c r="E6" s="71" t="n">
        <v>38</v>
      </c>
      <c r="F6" s="71" t="n">
        <v>40</v>
      </c>
      <c r="G6" s="71" t="n">
        <v>92</v>
      </c>
      <c r="H6" s="71" t="n">
        <v>95</v>
      </c>
      <c r="I6" s="71" t="n">
        <v>88</v>
      </c>
      <c r="J6" s="71" t="n">
        <v>52</v>
      </c>
      <c r="K6" s="71" t="n">
        <v>84</v>
      </c>
      <c r="L6" s="71" t="n">
        <v>68</v>
      </c>
      <c r="M6" s="71" t="n">
        <v>58</v>
      </c>
      <c r="N6" s="71" t="n">
        <v>70</v>
      </c>
    </row>
    <row r="7" customFormat="false" ht="15" hidden="false" customHeight="false" outlineLevel="0" collapsed="false">
      <c r="A7" s="70" t="s">
        <v>81</v>
      </c>
      <c r="B7" s="71" t="n">
        <v>94</v>
      </c>
      <c r="C7" s="71" t="n">
        <v>76</v>
      </c>
      <c r="D7" s="71" t="n">
        <v>62</v>
      </c>
      <c r="E7" s="71" t="n">
        <v>48</v>
      </c>
      <c r="F7" s="71" t="n">
        <v>54</v>
      </c>
      <c r="G7" s="71" t="n">
        <v>52</v>
      </c>
      <c r="H7" s="71" t="n">
        <v>48</v>
      </c>
      <c r="I7" s="71" t="n">
        <v>46</v>
      </c>
      <c r="J7" s="71" t="n">
        <v>40</v>
      </c>
      <c r="K7" s="71" t="n">
        <v>40</v>
      </c>
      <c r="L7" s="71" t="n">
        <v>60</v>
      </c>
      <c r="M7" s="71" t="n">
        <v>82</v>
      </c>
      <c r="N7" s="71" t="n">
        <v>56</v>
      </c>
    </row>
    <row r="8" customFormat="false" ht="15" hidden="false" customHeight="false" outlineLevel="0" collapsed="false">
      <c r="A8" s="70" t="s">
        <v>83</v>
      </c>
      <c r="B8" s="71" t="n">
        <v>88</v>
      </c>
      <c r="C8" s="71" t="n">
        <v>91</v>
      </c>
      <c r="D8" s="71" t="n">
        <v>68</v>
      </c>
      <c r="E8" s="71" t="n">
        <v>56</v>
      </c>
      <c r="F8" s="71" t="n">
        <v>72</v>
      </c>
      <c r="G8" s="71" t="n">
        <v>64</v>
      </c>
      <c r="H8" s="71" t="n">
        <v>58</v>
      </c>
      <c r="I8" s="71" t="n">
        <v>50</v>
      </c>
      <c r="J8" s="71" t="n">
        <v>46</v>
      </c>
      <c r="K8" s="71" t="n">
        <v>58</v>
      </c>
      <c r="L8" s="71" t="n">
        <v>56</v>
      </c>
      <c r="M8" s="71" t="n">
        <v>70</v>
      </c>
      <c r="N8" s="71" t="n">
        <v>60</v>
      </c>
    </row>
    <row r="9" customFormat="false" ht="15" hidden="false" customHeight="false" outlineLevel="0" collapsed="false">
      <c r="A9" s="70" t="s">
        <v>86</v>
      </c>
      <c r="B9" s="71" t="n">
        <v>62</v>
      </c>
      <c r="C9" s="71" t="n">
        <v>68</v>
      </c>
      <c r="D9" s="71" t="n">
        <v>56</v>
      </c>
      <c r="E9" s="71" t="n">
        <v>44</v>
      </c>
      <c r="F9" s="71" t="n">
        <v>38</v>
      </c>
      <c r="G9" s="71" t="n">
        <v>86</v>
      </c>
      <c r="H9" s="71" t="n">
        <v>90</v>
      </c>
      <c r="I9" s="71" t="n">
        <v>82</v>
      </c>
      <c r="J9" s="71" t="n">
        <v>56</v>
      </c>
      <c r="K9" s="71" t="n">
        <v>80</v>
      </c>
      <c r="L9" s="71" t="n">
        <v>72</v>
      </c>
      <c r="M9" s="71" t="n">
        <v>52</v>
      </c>
      <c r="N9" s="71" t="n">
        <v>78</v>
      </c>
    </row>
    <row r="10" customFormat="false" ht="15" hidden="false" customHeight="false" outlineLevel="0" collapsed="false">
      <c r="A10" s="70" t="s">
        <v>324</v>
      </c>
      <c r="B10" s="71" t="n">
        <v>54</v>
      </c>
      <c r="C10" s="71" t="n">
        <v>48</v>
      </c>
      <c r="D10" s="71" t="n">
        <v>84</v>
      </c>
      <c r="E10" s="71" t="n">
        <v>42</v>
      </c>
      <c r="F10" s="71" t="n">
        <v>32</v>
      </c>
      <c r="G10" s="71" t="n">
        <v>88</v>
      </c>
      <c r="H10" s="71" t="n">
        <v>82</v>
      </c>
      <c r="I10" s="71" t="n">
        <v>68</v>
      </c>
      <c r="J10" s="71" t="n">
        <v>48</v>
      </c>
      <c r="K10" s="71" t="n">
        <v>76</v>
      </c>
      <c r="L10" s="71" t="n">
        <v>58</v>
      </c>
      <c r="M10" s="71" t="n">
        <v>46</v>
      </c>
      <c r="N10" s="71" t="n">
        <v>54</v>
      </c>
    </row>
    <row r="11" customFormat="false" ht="15" hidden="false" customHeight="false" outlineLevel="0" collapsed="false">
      <c r="A11" s="70" t="s">
        <v>331</v>
      </c>
      <c r="B11" s="71" t="n">
        <v>66</v>
      </c>
      <c r="C11" s="71" t="n">
        <v>52</v>
      </c>
      <c r="D11" s="71" t="n">
        <v>46</v>
      </c>
      <c r="E11" s="71" t="n">
        <v>58</v>
      </c>
      <c r="F11" s="71" t="n">
        <v>54</v>
      </c>
      <c r="G11" s="71" t="n">
        <v>58</v>
      </c>
      <c r="H11" s="71" t="n">
        <v>52</v>
      </c>
      <c r="I11" s="71" t="n">
        <v>44</v>
      </c>
      <c r="J11" s="71" t="n">
        <v>40</v>
      </c>
      <c r="K11" s="71" t="n">
        <v>54</v>
      </c>
      <c r="L11" s="71" t="n">
        <v>62</v>
      </c>
      <c r="M11" s="71" t="n">
        <v>42</v>
      </c>
      <c r="N11" s="71" t="n">
        <v>58</v>
      </c>
    </row>
    <row r="12" customFormat="false" ht="15" hidden="false" customHeight="false" outlineLevel="0" collapsed="false">
      <c r="A12" s="70" t="s">
        <v>338</v>
      </c>
      <c r="B12" s="71" t="n">
        <v>58</v>
      </c>
      <c r="C12" s="71" t="n">
        <v>32</v>
      </c>
      <c r="D12" s="71" t="n">
        <v>28</v>
      </c>
      <c r="E12" s="71" t="n">
        <v>36</v>
      </c>
      <c r="F12" s="71" t="n">
        <v>24</v>
      </c>
      <c r="G12" s="71" t="n">
        <v>28</v>
      </c>
      <c r="H12" s="71" t="n">
        <v>24</v>
      </c>
      <c r="I12" s="71" t="n">
        <v>22</v>
      </c>
      <c r="J12" s="71" t="n">
        <v>26</v>
      </c>
      <c r="K12" s="71" t="n">
        <v>30</v>
      </c>
      <c r="L12" s="71" t="n">
        <v>38</v>
      </c>
      <c r="M12" s="71" t="n">
        <v>48</v>
      </c>
      <c r="N12" s="71" t="n">
        <v>32</v>
      </c>
    </row>
    <row r="13" customFormat="false" ht="15" hidden="false" customHeight="false" outlineLevel="0" collapsed="false">
      <c r="A13" s="70" t="s">
        <v>346</v>
      </c>
      <c r="B13" s="71" t="n">
        <v>52</v>
      </c>
      <c r="C13" s="71" t="n">
        <v>38</v>
      </c>
      <c r="D13" s="71" t="n">
        <v>40</v>
      </c>
      <c r="E13" s="71" t="n">
        <v>44</v>
      </c>
      <c r="F13" s="71" t="n">
        <v>30</v>
      </c>
      <c r="G13" s="71" t="n">
        <v>42</v>
      </c>
      <c r="H13" s="71" t="n">
        <v>38</v>
      </c>
      <c r="I13" s="71" t="n">
        <v>32</v>
      </c>
      <c r="J13" s="71" t="n">
        <v>34</v>
      </c>
      <c r="K13" s="71" t="n">
        <v>40</v>
      </c>
      <c r="L13" s="71" t="n">
        <v>40</v>
      </c>
      <c r="M13" s="71" t="n">
        <v>52</v>
      </c>
      <c r="N13" s="71" t="n">
        <v>38</v>
      </c>
    </row>
    <row r="14" customFormat="false" ht="15" hidden="false" customHeight="false" outlineLevel="0" collapsed="false">
      <c r="A14" s="70" t="s">
        <v>359</v>
      </c>
      <c r="B14" s="71" t="n">
        <v>34</v>
      </c>
      <c r="C14" s="71" t="n">
        <v>30</v>
      </c>
      <c r="D14" s="71" t="n">
        <v>38</v>
      </c>
      <c r="E14" s="71" t="n">
        <v>46</v>
      </c>
      <c r="F14" s="71" t="n">
        <v>42</v>
      </c>
      <c r="G14" s="71" t="n">
        <v>52</v>
      </c>
      <c r="H14" s="71" t="n">
        <v>58</v>
      </c>
      <c r="I14" s="71" t="n">
        <v>48</v>
      </c>
      <c r="J14" s="71" t="n">
        <v>40</v>
      </c>
      <c r="K14" s="71" t="n">
        <v>56</v>
      </c>
      <c r="L14" s="71" t="n">
        <v>44</v>
      </c>
      <c r="M14" s="71" t="n">
        <v>36</v>
      </c>
      <c r="N14" s="71" t="n">
        <v>48</v>
      </c>
    </row>
    <row r="15" customFormat="false" ht="15" hidden="false" customHeight="false" outlineLevel="0" collapsed="false">
      <c r="A15" s="70" t="s">
        <v>366</v>
      </c>
      <c r="B15" s="71" t="n">
        <v>38</v>
      </c>
      <c r="C15" s="71" t="n">
        <v>42</v>
      </c>
      <c r="D15" s="71" t="n">
        <v>32</v>
      </c>
      <c r="E15" s="71" t="n">
        <v>40</v>
      </c>
      <c r="F15" s="71" t="n">
        <v>36</v>
      </c>
      <c r="G15" s="71" t="n">
        <v>34</v>
      </c>
      <c r="H15" s="71" t="n">
        <v>30</v>
      </c>
      <c r="I15" s="71" t="n">
        <v>26</v>
      </c>
      <c r="J15" s="71" t="n">
        <v>52</v>
      </c>
      <c r="K15" s="71" t="n">
        <v>30</v>
      </c>
      <c r="L15" s="71" t="n">
        <v>40</v>
      </c>
      <c r="M15" s="71" t="n">
        <v>72</v>
      </c>
      <c r="N15" s="71" t="n">
        <v>34</v>
      </c>
    </row>
    <row r="16" customFormat="false" ht="15" hidden="false" customHeight="false" outlineLevel="0" collapsed="false">
      <c r="A16" s="70" t="s">
        <v>373</v>
      </c>
      <c r="B16" s="71" t="n">
        <v>28</v>
      </c>
      <c r="C16" s="71" t="n">
        <v>32</v>
      </c>
      <c r="D16" s="71" t="n">
        <v>26</v>
      </c>
      <c r="E16" s="71" t="n">
        <v>62</v>
      </c>
      <c r="F16" s="71" t="n">
        <v>48</v>
      </c>
      <c r="G16" s="71" t="n">
        <v>24</v>
      </c>
      <c r="H16" s="71" t="n">
        <v>20</v>
      </c>
      <c r="I16" s="71" t="n">
        <v>18</v>
      </c>
      <c r="J16" s="71" t="n">
        <v>28</v>
      </c>
      <c r="K16" s="71" t="n">
        <v>24</v>
      </c>
      <c r="L16" s="71" t="n">
        <v>34</v>
      </c>
      <c r="M16" s="71" t="n">
        <v>38</v>
      </c>
      <c r="N16" s="71" t="n">
        <v>30</v>
      </c>
    </row>
    <row r="17" customFormat="false" ht="15" hidden="false" customHeight="false" outlineLevel="0" collapsed="false">
      <c r="A17" s="70" t="s">
        <v>388</v>
      </c>
      <c r="B17" s="71" t="n">
        <v>24</v>
      </c>
      <c r="C17" s="71" t="n">
        <v>26</v>
      </c>
      <c r="D17" s="71" t="n">
        <v>30</v>
      </c>
      <c r="E17" s="71" t="n">
        <v>34</v>
      </c>
      <c r="F17" s="71" t="n">
        <v>28</v>
      </c>
      <c r="G17" s="71" t="n">
        <v>52</v>
      </c>
      <c r="H17" s="71" t="n">
        <v>42</v>
      </c>
      <c r="I17" s="71" t="n">
        <v>44</v>
      </c>
      <c r="J17" s="71" t="n">
        <v>58</v>
      </c>
      <c r="K17" s="71" t="n">
        <v>46</v>
      </c>
      <c r="L17" s="71" t="n">
        <v>38</v>
      </c>
      <c r="M17" s="71" t="n">
        <v>40</v>
      </c>
      <c r="N17" s="71" t="n">
        <v>40</v>
      </c>
    </row>
    <row r="18" customFormat="false" ht="15" hidden="false" customHeight="false" outlineLevel="0" collapsed="false">
      <c r="A18" s="70" t="s">
        <v>381</v>
      </c>
      <c r="B18" s="71" t="n">
        <v>30</v>
      </c>
      <c r="C18" s="71" t="n">
        <v>34</v>
      </c>
      <c r="D18" s="71" t="n">
        <v>28</v>
      </c>
      <c r="E18" s="71" t="n">
        <v>58</v>
      </c>
      <c r="F18" s="71" t="n">
        <v>52</v>
      </c>
      <c r="G18" s="71" t="n">
        <v>30</v>
      </c>
      <c r="H18" s="71" t="n">
        <v>26</v>
      </c>
      <c r="I18" s="71" t="n">
        <v>22</v>
      </c>
      <c r="J18" s="71" t="n">
        <v>34</v>
      </c>
      <c r="K18" s="71" t="n">
        <v>28</v>
      </c>
      <c r="L18" s="71" t="n">
        <v>36</v>
      </c>
      <c r="M18" s="71" t="n">
        <v>32</v>
      </c>
      <c r="N18" s="71" t="n">
        <v>32</v>
      </c>
    </row>
    <row r="20" customFormat="false" ht="39.75" hidden="false" customHeight="true" outlineLevel="0" collapsed="false">
      <c r="A20" s="22" t="s">
        <v>1225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</row>
  </sheetData>
  <mergeCells count="3">
    <mergeCell ref="A1:N1"/>
    <mergeCell ref="A2:N2"/>
    <mergeCell ref="A20:N20"/>
  </mergeCells>
  <conditionalFormatting sqref="B5:N18">
    <cfRule type="colorScale" priority="2">
      <colorScale>
        <cfvo type="min" val="0"/>
        <cfvo type="percentile" val="50"/>
        <cfvo type="max" val="0"/>
        <color rgb="FFFFFFFF"/>
        <color rgb="FFFFD9A0"/>
        <color rgb="FFC0392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42"/>
    <col collapsed="false" customWidth="true" hidden="false" outlineLevel="0" max="7" min="7" style="0" width="10"/>
  </cols>
  <sheetData>
    <row r="1" customFormat="false" ht="25.5" hidden="false" customHeight="true" outlineLevel="0" collapsed="false">
      <c r="A1" s="1" t="s">
        <v>1226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1227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4" t="s">
        <v>1228</v>
      </c>
      <c r="B4" s="4"/>
      <c r="C4" s="4"/>
      <c r="D4" s="4"/>
      <c r="E4" s="4"/>
      <c r="F4" s="4"/>
      <c r="G4" s="4"/>
    </row>
    <row r="5" customFormat="false" ht="27.75" hidden="false" customHeight="true" outlineLevel="0" collapsed="false">
      <c r="A5" s="11" t="s">
        <v>1229</v>
      </c>
      <c r="B5" s="11" t="s">
        <v>1230</v>
      </c>
      <c r="C5" s="11" t="s">
        <v>1231</v>
      </c>
      <c r="D5" s="11" t="s">
        <v>1232</v>
      </c>
      <c r="E5" s="11" t="s">
        <v>1233</v>
      </c>
      <c r="F5" s="11" t="s">
        <v>505</v>
      </c>
    </row>
    <row r="6" customFormat="false" ht="15" hidden="false" customHeight="false" outlineLevel="0" collapsed="false">
      <c r="A6" s="12" t="s">
        <v>1234</v>
      </c>
      <c r="B6" s="72" t="n">
        <v>7.7</v>
      </c>
      <c r="C6" s="12" t="s">
        <v>758</v>
      </c>
      <c r="D6" s="16" t="n">
        <v>7.1</v>
      </c>
      <c r="E6" s="12" t="s">
        <v>1044</v>
      </c>
      <c r="F6" s="12" t="s">
        <v>1235</v>
      </c>
    </row>
    <row r="7" customFormat="false" ht="15" hidden="false" customHeight="false" outlineLevel="0" collapsed="false">
      <c r="A7" s="14" t="s">
        <v>1236</v>
      </c>
      <c r="B7" s="73" t="n">
        <v>7.8</v>
      </c>
      <c r="C7" s="14" t="s">
        <v>1237</v>
      </c>
      <c r="D7" s="17" t="n">
        <v>7.6</v>
      </c>
      <c r="E7" s="14" t="s">
        <v>1238</v>
      </c>
      <c r="F7" s="14" t="s">
        <v>1239</v>
      </c>
    </row>
    <row r="8" customFormat="false" ht="15" hidden="false" customHeight="false" outlineLevel="0" collapsed="false">
      <c r="A8" s="12" t="s">
        <v>1240</v>
      </c>
      <c r="B8" s="72" t="n">
        <v>8.2</v>
      </c>
      <c r="C8" s="12" t="s">
        <v>758</v>
      </c>
      <c r="D8" s="16" t="n">
        <v>7.1</v>
      </c>
      <c r="E8" s="12" t="s">
        <v>1241</v>
      </c>
      <c r="F8" s="12" t="s">
        <v>1239</v>
      </c>
    </row>
    <row r="9" customFormat="false" ht="15" hidden="false" customHeight="false" outlineLevel="0" collapsed="false">
      <c r="A9" s="14" t="s">
        <v>1242</v>
      </c>
      <c r="B9" s="73" t="n">
        <v>4.1</v>
      </c>
      <c r="C9" s="14" t="s">
        <v>1243</v>
      </c>
      <c r="D9" s="14"/>
      <c r="E9" s="14" t="s">
        <v>1244</v>
      </c>
      <c r="F9" s="14" t="s">
        <v>1245</v>
      </c>
    </row>
    <row r="10" customFormat="false" ht="15" hidden="false" customHeight="false" outlineLevel="0" collapsed="false">
      <c r="A10" s="12" t="s">
        <v>1246</v>
      </c>
      <c r="B10" s="72" t="n">
        <v>173.2</v>
      </c>
      <c r="C10" s="12" t="s">
        <v>1243</v>
      </c>
      <c r="D10" s="16" t="n">
        <v>166.3</v>
      </c>
      <c r="E10" s="12" t="s">
        <v>1247</v>
      </c>
      <c r="F10" s="12" t="s">
        <v>1248</v>
      </c>
    </row>
    <row r="11" customFormat="false" ht="15" hidden="false" customHeight="false" outlineLevel="0" collapsed="false">
      <c r="A11" s="14" t="s">
        <v>1249</v>
      </c>
      <c r="B11" s="73" t="n">
        <v>53.9</v>
      </c>
      <c r="C11" s="14" t="s">
        <v>1243</v>
      </c>
      <c r="D11" s="17" t="n">
        <v>56.9</v>
      </c>
      <c r="E11" s="14" t="s">
        <v>1250</v>
      </c>
      <c r="F11" s="14" t="s">
        <v>1248</v>
      </c>
    </row>
    <row r="12" customFormat="false" ht="15" hidden="false" customHeight="false" outlineLevel="0" collapsed="false">
      <c r="A12" s="12" t="s">
        <v>1251</v>
      </c>
      <c r="B12" s="12" t="s">
        <v>1252</v>
      </c>
      <c r="C12" s="12" t="s">
        <v>758</v>
      </c>
      <c r="D12" s="12"/>
      <c r="E12" s="12" t="s">
        <v>1253</v>
      </c>
      <c r="F12" s="12" t="s">
        <v>1254</v>
      </c>
    </row>
    <row r="14" customFormat="false" ht="15" hidden="false" customHeight="false" outlineLevel="0" collapsed="false">
      <c r="A14" s="4" t="s">
        <v>1255</v>
      </c>
      <c r="B14" s="4"/>
      <c r="C14" s="4"/>
      <c r="D14" s="4"/>
      <c r="E14" s="4"/>
      <c r="F14" s="4"/>
      <c r="G14" s="4"/>
    </row>
    <row r="15" customFormat="false" ht="27.75" hidden="false" customHeight="true" outlineLevel="0" collapsed="false">
      <c r="A15" s="11" t="s">
        <v>1229</v>
      </c>
      <c r="B15" s="11" t="s">
        <v>1230</v>
      </c>
      <c r="C15" s="11" t="s">
        <v>1231</v>
      </c>
      <c r="D15" s="11" t="s">
        <v>1232</v>
      </c>
      <c r="E15" s="11" t="s">
        <v>1233</v>
      </c>
      <c r="F15" s="11" t="s">
        <v>505</v>
      </c>
    </row>
    <row r="16" customFormat="false" ht="15" hidden="false" customHeight="false" outlineLevel="0" collapsed="false">
      <c r="A16" s="12" t="s">
        <v>1256</v>
      </c>
      <c r="B16" s="72" t="n">
        <v>3.2</v>
      </c>
      <c r="C16" s="12" t="s">
        <v>1257</v>
      </c>
      <c r="D16" s="12" t="n">
        <v>6</v>
      </c>
      <c r="E16" s="12" t="s">
        <v>1258</v>
      </c>
      <c r="F16" s="12" t="s">
        <v>1259</v>
      </c>
    </row>
    <row r="17" customFormat="false" ht="15" hidden="false" customHeight="false" outlineLevel="0" collapsed="false">
      <c r="A17" s="14" t="s">
        <v>1260</v>
      </c>
      <c r="B17" s="73" t="n">
        <v>4.9</v>
      </c>
      <c r="C17" s="14" t="s">
        <v>1261</v>
      </c>
      <c r="D17" s="14" t="n">
        <v>5.4</v>
      </c>
      <c r="E17" s="14" t="s">
        <v>1262</v>
      </c>
      <c r="F17" s="14" t="s">
        <v>1259</v>
      </c>
    </row>
    <row r="18" customFormat="false" ht="15" hidden="false" customHeight="false" outlineLevel="0" collapsed="false">
      <c r="A18" s="12" t="s">
        <v>1263</v>
      </c>
      <c r="B18" s="72" t="n">
        <v>18</v>
      </c>
      <c r="C18" s="12" t="s">
        <v>1264</v>
      </c>
      <c r="D18" s="12" t="s">
        <v>434</v>
      </c>
      <c r="E18" s="12" t="s">
        <v>1265</v>
      </c>
      <c r="F18" s="12" t="s">
        <v>1266</v>
      </c>
    </row>
    <row r="19" customFormat="false" ht="15" hidden="false" customHeight="false" outlineLevel="0" collapsed="false">
      <c r="A19" s="14" t="s">
        <v>1267</v>
      </c>
      <c r="B19" s="15" t="n">
        <v>59000000</v>
      </c>
      <c r="C19" s="14" t="s">
        <v>1268</v>
      </c>
      <c r="D19" s="14" t="s">
        <v>434</v>
      </c>
      <c r="E19" s="14" t="s">
        <v>1269</v>
      </c>
      <c r="F19" s="14" t="s">
        <v>1270</v>
      </c>
    </row>
    <row r="20" customFormat="false" ht="15" hidden="false" customHeight="false" outlineLevel="0" collapsed="false">
      <c r="A20" s="12" t="s">
        <v>1271</v>
      </c>
      <c r="B20" s="13" t="n">
        <v>5300000</v>
      </c>
      <c r="C20" s="12" t="s">
        <v>1268</v>
      </c>
      <c r="D20" s="12" t="s">
        <v>434</v>
      </c>
      <c r="E20" s="12" t="s">
        <v>1272</v>
      </c>
      <c r="F20" s="12" t="s">
        <v>1270</v>
      </c>
    </row>
    <row r="21" customFormat="false" ht="15" hidden="false" customHeight="false" outlineLevel="0" collapsed="false">
      <c r="A21" s="14" t="s">
        <v>1273</v>
      </c>
      <c r="B21" s="15" t="n">
        <v>80000000</v>
      </c>
      <c r="C21" s="14" t="s">
        <v>1268</v>
      </c>
      <c r="D21" s="14" t="s">
        <v>434</v>
      </c>
      <c r="E21" s="14" t="s">
        <v>1274</v>
      </c>
      <c r="F21" s="14" t="s">
        <v>1270</v>
      </c>
    </row>
    <row r="22" customFormat="false" ht="15" hidden="false" customHeight="false" outlineLevel="0" collapsed="false">
      <c r="A22" s="12" t="s">
        <v>1275</v>
      </c>
      <c r="B22" s="13" t="n">
        <v>2858</v>
      </c>
      <c r="C22" s="12" t="s">
        <v>1243</v>
      </c>
      <c r="D22" s="12" t="n">
        <v>2625</v>
      </c>
      <c r="E22" s="12" t="s">
        <v>1276</v>
      </c>
      <c r="F22" s="12" t="s">
        <v>1277</v>
      </c>
    </row>
    <row r="24" customFormat="false" ht="15" hidden="false" customHeight="false" outlineLevel="0" collapsed="false">
      <c r="A24" s="4" t="s">
        <v>1278</v>
      </c>
      <c r="B24" s="4"/>
      <c r="C24" s="4"/>
      <c r="D24" s="4"/>
      <c r="E24" s="4"/>
      <c r="F24" s="4"/>
      <c r="G24" s="4"/>
    </row>
    <row r="25" customFormat="false" ht="27.75" hidden="false" customHeight="true" outlineLevel="0" collapsed="false">
      <c r="A25" s="11" t="s">
        <v>1229</v>
      </c>
      <c r="B25" s="11" t="s">
        <v>1230</v>
      </c>
      <c r="C25" s="11" t="s">
        <v>1231</v>
      </c>
      <c r="D25" s="11" t="s">
        <v>1232</v>
      </c>
      <c r="E25" s="11" t="s">
        <v>1233</v>
      </c>
      <c r="F25" s="11" t="s">
        <v>505</v>
      </c>
    </row>
    <row r="26" customFormat="false" ht="15" hidden="false" customHeight="false" outlineLevel="0" collapsed="false">
      <c r="A26" s="12" t="s">
        <v>1279</v>
      </c>
      <c r="B26" s="56" t="n">
        <v>825.3</v>
      </c>
      <c r="C26" s="12" t="s">
        <v>1280</v>
      </c>
      <c r="D26" s="12"/>
      <c r="E26" s="12" t="s">
        <v>1281</v>
      </c>
      <c r="F26" s="12" t="s">
        <v>1282</v>
      </c>
    </row>
    <row r="27" customFormat="false" ht="15" hidden="false" customHeight="false" outlineLevel="0" collapsed="false">
      <c r="A27" s="14" t="s">
        <v>1283</v>
      </c>
      <c r="B27" s="57" t="n">
        <v>418.5</v>
      </c>
      <c r="C27" s="14" t="s">
        <v>1284</v>
      </c>
      <c r="D27" s="14"/>
      <c r="E27" s="14" t="s">
        <v>1285</v>
      </c>
      <c r="F27" s="14" t="s">
        <v>1282</v>
      </c>
    </row>
    <row r="28" customFormat="false" ht="15" hidden="false" customHeight="false" outlineLevel="0" collapsed="false">
      <c r="A28" s="12" t="s">
        <v>1286</v>
      </c>
      <c r="B28" s="56" t="n">
        <v>58.85</v>
      </c>
      <c r="C28" s="12" t="s">
        <v>1287</v>
      </c>
      <c r="D28" s="12"/>
      <c r="E28" s="12" t="s">
        <v>1288</v>
      </c>
      <c r="F28" s="12" t="s">
        <v>1289</v>
      </c>
    </row>
    <row r="29" customFormat="false" ht="15" hidden="false" customHeight="false" outlineLevel="0" collapsed="false">
      <c r="A29" s="14" t="s">
        <v>1290</v>
      </c>
      <c r="B29" s="57" t="n">
        <v>3.8</v>
      </c>
      <c r="C29" s="14" t="s">
        <v>1291</v>
      </c>
      <c r="D29" s="14" t="n">
        <v>4.7</v>
      </c>
      <c r="E29" s="14" t="s">
        <v>1292</v>
      </c>
      <c r="F29" s="14" t="s">
        <v>1248</v>
      </c>
    </row>
    <row r="30" customFormat="false" ht="15" hidden="false" customHeight="false" outlineLevel="0" collapsed="false">
      <c r="A30" s="12" t="s">
        <v>1293</v>
      </c>
      <c r="B30" s="56" t="n">
        <v>3</v>
      </c>
      <c r="C30" s="12" t="s">
        <v>1294</v>
      </c>
      <c r="D30" s="12"/>
      <c r="E30" s="12" t="s">
        <v>1295</v>
      </c>
      <c r="F30" s="12" t="s">
        <v>1282</v>
      </c>
    </row>
    <row r="32" customFormat="false" ht="42" hidden="false" customHeight="true" outlineLevel="0" collapsed="false">
      <c r="A32" s="22" t="s">
        <v>1296</v>
      </c>
      <c r="B32" s="22"/>
      <c r="C32" s="22"/>
      <c r="D32" s="22"/>
      <c r="E32" s="22"/>
      <c r="F32" s="22"/>
      <c r="G32" s="22"/>
    </row>
  </sheetData>
  <mergeCells count="6">
    <mergeCell ref="A1:G1"/>
    <mergeCell ref="A2:G2"/>
    <mergeCell ref="A4:G4"/>
    <mergeCell ref="A14:G14"/>
    <mergeCell ref="A24:G24"/>
    <mergeCell ref="A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52"/>
    <col collapsed="false" customWidth="true" hidden="false" outlineLevel="0" max="8" min="8" style="0" width="12"/>
    <col collapsed="false" customWidth="true" hidden="false" outlineLevel="0" max="9" min="9" style="0" width="28"/>
  </cols>
  <sheetData>
    <row r="1" customFormat="false" ht="25.5" hidden="false" customHeight="true" outlineLevel="0" collapsed="false">
      <c r="A1" s="1" t="s">
        <v>1297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1298</v>
      </c>
      <c r="B2" s="2"/>
      <c r="C2" s="2"/>
      <c r="D2" s="2"/>
      <c r="E2" s="2"/>
      <c r="F2" s="2"/>
      <c r="G2" s="2"/>
      <c r="H2" s="2"/>
      <c r="I2" s="2"/>
    </row>
    <row r="4" customFormat="false" ht="45.75" hidden="false" customHeight="true" outlineLevel="0" collapsed="false">
      <c r="A4" s="11" t="s">
        <v>495</v>
      </c>
      <c r="B4" s="11" t="s">
        <v>1299</v>
      </c>
      <c r="C4" s="11" t="s">
        <v>1300</v>
      </c>
      <c r="D4" s="11" t="s">
        <v>1301</v>
      </c>
      <c r="E4" s="11" t="s">
        <v>1302</v>
      </c>
      <c r="F4" s="11" t="s">
        <v>1303</v>
      </c>
      <c r="G4" s="11" t="s">
        <v>1304</v>
      </c>
      <c r="H4" s="11" t="s">
        <v>1305</v>
      </c>
      <c r="I4" s="11" t="s">
        <v>505</v>
      </c>
    </row>
    <row r="5" customFormat="false" ht="15" hidden="false" customHeight="false" outlineLevel="0" collapsed="false">
      <c r="A5" s="12" t="s">
        <v>1306</v>
      </c>
      <c r="B5" s="74" t="n">
        <v>1.1</v>
      </c>
      <c r="C5" s="74" t="n">
        <v>17.5</v>
      </c>
      <c r="D5" s="74" t="n">
        <v>7.84</v>
      </c>
      <c r="E5" s="47" t="s">
        <v>1307</v>
      </c>
      <c r="F5" s="12" t="s">
        <v>1308</v>
      </c>
      <c r="G5" s="12" t="s">
        <v>1309</v>
      </c>
      <c r="H5" s="68" t="n">
        <v>1.8</v>
      </c>
      <c r="I5" s="12" t="s">
        <v>1310</v>
      </c>
    </row>
    <row r="6" customFormat="false" ht="15" hidden="false" customHeight="false" outlineLevel="0" collapsed="false">
      <c r="A6" s="14" t="s">
        <v>140</v>
      </c>
      <c r="B6" s="75" t="n">
        <v>0.93</v>
      </c>
      <c r="C6" s="75" t="n">
        <v>1.05</v>
      </c>
      <c r="D6" s="75" t="n">
        <v>0.96</v>
      </c>
      <c r="E6" s="14" t="s">
        <v>1311</v>
      </c>
      <c r="F6" s="14" t="s">
        <v>1312</v>
      </c>
      <c r="G6" s="14" t="s">
        <v>1313</v>
      </c>
      <c r="H6" s="69" t="n">
        <v>1.9</v>
      </c>
      <c r="I6" s="14" t="s">
        <v>1314</v>
      </c>
    </row>
    <row r="7" customFormat="false" ht="15" hidden="false" customHeight="false" outlineLevel="0" collapsed="false">
      <c r="A7" s="12" t="s">
        <v>1020</v>
      </c>
      <c r="B7" s="74" t="n">
        <v>1.44</v>
      </c>
      <c r="C7" s="74" t="n">
        <v>11.34</v>
      </c>
      <c r="D7" s="74" t="n">
        <v>5.2</v>
      </c>
      <c r="E7" s="60" t="s">
        <v>906</v>
      </c>
      <c r="F7" s="12" t="s">
        <v>1315</v>
      </c>
      <c r="G7" s="12" t="s">
        <v>1316</v>
      </c>
      <c r="H7" s="68" t="n">
        <v>1.7</v>
      </c>
      <c r="I7" s="12" t="s">
        <v>1317</v>
      </c>
    </row>
    <row r="8" customFormat="false" ht="15" hidden="false" customHeight="false" outlineLevel="0" collapsed="false">
      <c r="A8" s="14" t="s">
        <v>1318</v>
      </c>
      <c r="B8" s="75" t="n">
        <v>0.73</v>
      </c>
      <c r="C8" s="75" t="n">
        <v>4.35</v>
      </c>
      <c r="D8" s="75" t="n">
        <v>1.85</v>
      </c>
      <c r="E8" s="14" t="s">
        <v>1319</v>
      </c>
      <c r="F8" s="14" t="s">
        <v>1320</v>
      </c>
      <c r="G8" s="14" t="s">
        <v>1321</v>
      </c>
      <c r="H8" s="69" t="n">
        <v>2.4</v>
      </c>
      <c r="I8" s="14" t="s">
        <v>1322</v>
      </c>
    </row>
    <row r="9" customFormat="false" ht="15" hidden="false" customHeight="false" outlineLevel="0" collapsed="false">
      <c r="A9" s="12" t="s">
        <v>1022</v>
      </c>
      <c r="B9" s="74" t="n">
        <v>0.65</v>
      </c>
      <c r="C9" s="74" t="n">
        <v>1.1</v>
      </c>
      <c r="D9" s="74" t="n">
        <v>0.85</v>
      </c>
      <c r="E9" s="46" t="s">
        <v>1323</v>
      </c>
      <c r="F9" s="12" t="s">
        <v>1324</v>
      </c>
      <c r="G9" s="12" t="s">
        <v>1325</v>
      </c>
      <c r="H9" s="68" t="n">
        <v>1.6</v>
      </c>
      <c r="I9" s="12" t="s">
        <v>1326</v>
      </c>
    </row>
    <row r="10" customFormat="false" ht="15" hidden="false" customHeight="false" outlineLevel="0" collapsed="false">
      <c r="A10" s="14" t="s">
        <v>1024</v>
      </c>
      <c r="B10" s="75" t="n">
        <v>0.47</v>
      </c>
      <c r="C10" s="75" t="n">
        <v>0.93</v>
      </c>
      <c r="D10" s="75" t="n">
        <v>0.65</v>
      </c>
      <c r="E10" s="14" t="s">
        <v>1327</v>
      </c>
      <c r="F10" s="14" t="s">
        <v>1328</v>
      </c>
      <c r="G10" s="14" t="s">
        <v>1329</v>
      </c>
      <c r="H10" s="69" t="n">
        <v>2.2</v>
      </c>
      <c r="I10" s="14" t="s">
        <v>1330</v>
      </c>
    </row>
    <row r="11" customFormat="false" ht="15" hidden="false" customHeight="false" outlineLevel="0" collapsed="false">
      <c r="A11" s="12" t="s">
        <v>579</v>
      </c>
      <c r="B11" s="74" t="n">
        <v>0.41</v>
      </c>
      <c r="C11" s="74" t="n">
        <v>0.41</v>
      </c>
      <c r="D11" s="74" t="n">
        <v>0.41</v>
      </c>
      <c r="E11" s="65" t="s">
        <v>1327</v>
      </c>
      <c r="F11" s="12" t="s">
        <v>1331</v>
      </c>
      <c r="G11" s="12" t="s">
        <v>1332</v>
      </c>
      <c r="H11" s="68" t="n">
        <v>1.9</v>
      </c>
      <c r="I11" s="12" t="s">
        <v>1333</v>
      </c>
    </row>
    <row r="12" customFormat="false" ht="15" hidden="false" customHeight="false" outlineLevel="0" collapsed="false">
      <c r="A12" s="14" t="s">
        <v>1334</v>
      </c>
      <c r="B12" s="75" t="n">
        <v>2.85</v>
      </c>
      <c r="C12" s="75" t="n">
        <v>7</v>
      </c>
      <c r="D12" s="75" t="n">
        <v>4.93</v>
      </c>
      <c r="E12" s="14" t="s">
        <v>1335</v>
      </c>
      <c r="F12" s="14" t="s">
        <v>1336</v>
      </c>
      <c r="G12" s="14" t="s">
        <v>1337</v>
      </c>
      <c r="H12" s="69" t="n">
        <v>1.5</v>
      </c>
      <c r="I12" s="14" t="s">
        <v>1338</v>
      </c>
    </row>
    <row r="13" customFormat="false" ht="15" hidden="false" customHeight="false" outlineLevel="0" collapsed="false">
      <c r="A13" s="12" t="s">
        <v>1339</v>
      </c>
      <c r="B13" s="74" t="n">
        <v>3.99</v>
      </c>
      <c r="C13" s="74" t="n">
        <v>3.99</v>
      </c>
      <c r="D13" s="74" t="n">
        <v>3.99</v>
      </c>
      <c r="E13" s="60" t="s">
        <v>906</v>
      </c>
      <c r="F13" s="12" t="s">
        <v>1340</v>
      </c>
      <c r="G13" s="12" t="s">
        <v>1341</v>
      </c>
      <c r="H13" s="68" t="n">
        <v>1.6</v>
      </c>
      <c r="I13" s="12" t="s">
        <v>1342</v>
      </c>
    </row>
    <row r="14" customFormat="false" ht="15" hidden="false" customHeight="false" outlineLevel="0" collapsed="false">
      <c r="A14" s="14" t="s">
        <v>1025</v>
      </c>
      <c r="B14" s="75" t="n">
        <v>0.45</v>
      </c>
      <c r="C14" s="75" t="n">
        <v>0.45</v>
      </c>
      <c r="D14" s="75" t="n">
        <v>0.45</v>
      </c>
      <c r="E14" s="14" t="s">
        <v>1327</v>
      </c>
      <c r="F14" s="14" t="s">
        <v>1343</v>
      </c>
      <c r="G14" s="14" t="s">
        <v>1344</v>
      </c>
      <c r="H14" s="69" t="n">
        <v>1.3</v>
      </c>
      <c r="I14" s="14" t="s">
        <v>1345</v>
      </c>
    </row>
    <row r="15" customFormat="false" ht="15" hidden="false" customHeight="false" outlineLevel="0" collapsed="false">
      <c r="A15" s="12" t="s">
        <v>1346</v>
      </c>
      <c r="B15" s="74" t="n">
        <v>1.35</v>
      </c>
      <c r="C15" s="74" t="n">
        <v>1.39</v>
      </c>
      <c r="D15" s="74" t="n">
        <v>1.37</v>
      </c>
      <c r="E15" s="46" t="s">
        <v>1323</v>
      </c>
      <c r="F15" s="12" t="s">
        <v>1347</v>
      </c>
      <c r="G15" s="12" t="s">
        <v>1348</v>
      </c>
      <c r="H15" s="68" t="n">
        <v>1.9</v>
      </c>
      <c r="I15" s="12" t="s">
        <v>1349</v>
      </c>
    </row>
    <row r="16" customFormat="false" ht="15" hidden="false" customHeight="false" outlineLevel="0" collapsed="false">
      <c r="A16" s="14" t="s">
        <v>1350</v>
      </c>
      <c r="B16" s="75" t="n">
        <v>0.4</v>
      </c>
      <c r="C16" s="75" t="n">
        <v>0.73</v>
      </c>
      <c r="D16" s="75" t="n">
        <v>0.55</v>
      </c>
      <c r="E16" s="14" t="s">
        <v>1351</v>
      </c>
      <c r="F16" s="14" t="s">
        <v>1352</v>
      </c>
      <c r="G16" s="14" t="s">
        <v>1353</v>
      </c>
      <c r="H16" s="69" t="n">
        <v>1.7</v>
      </c>
      <c r="I16" s="14" t="s">
        <v>1354</v>
      </c>
    </row>
    <row r="18" customFormat="false" ht="49.5" hidden="false" customHeight="true" outlineLevel="0" collapsed="false">
      <c r="A18" s="22" t="s">
        <v>1355</v>
      </c>
      <c r="B18" s="22"/>
      <c r="C18" s="22"/>
      <c r="D18" s="22"/>
      <c r="E18" s="22"/>
      <c r="F18" s="22"/>
      <c r="G18" s="22"/>
      <c r="H18" s="22"/>
      <c r="I18" s="22"/>
    </row>
  </sheetData>
  <mergeCells count="3">
    <mergeCell ref="A1:I1"/>
    <mergeCell ref="A2:I2"/>
    <mergeCell ref="A18:I18"/>
  </mergeCells>
  <conditionalFormatting sqref="D5:D16">
    <cfRule type="colorScale" priority="2">
      <colorScale>
        <cfvo type="min" val="0"/>
        <cfvo type="max" val="0"/>
        <color rgb="FFA8D8B9"/>
        <color rgb="FFC0392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6" min="4" style="0" width="16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25.5" hidden="false" customHeight="true" outlineLevel="0" collapsed="false">
      <c r="A1" s="1" t="s">
        <v>1356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1357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4" t="s">
        <v>1358</v>
      </c>
      <c r="B4" s="4"/>
      <c r="C4" s="4"/>
      <c r="D4" s="4"/>
      <c r="E4" s="4"/>
      <c r="F4" s="4"/>
      <c r="G4" s="4"/>
      <c r="H4" s="4"/>
    </row>
    <row r="5" customFormat="false" ht="39.75" hidden="false" customHeight="true" outlineLevel="0" collapsed="false">
      <c r="A5" s="11" t="s">
        <v>751</v>
      </c>
      <c r="B5" s="11" t="s">
        <v>1359</v>
      </c>
      <c r="C5" s="11" t="s">
        <v>863</v>
      </c>
      <c r="D5" s="11" t="s">
        <v>1360</v>
      </c>
      <c r="E5" s="11" t="s">
        <v>1361</v>
      </c>
      <c r="F5" s="11" t="s">
        <v>1362</v>
      </c>
      <c r="G5" s="11" t="s">
        <v>1363</v>
      </c>
      <c r="H5" s="11" t="s">
        <v>1364</v>
      </c>
    </row>
    <row r="6" customFormat="false" ht="15" hidden="false" customHeight="false" outlineLevel="0" collapsed="false">
      <c r="A6" s="12" t="s">
        <v>755</v>
      </c>
      <c r="B6" s="50" t="n">
        <v>81.72</v>
      </c>
      <c r="C6" s="12"/>
      <c r="D6" s="12"/>
      <c r="E6" s="56" t="n">
        <v>11.2</v>
      </c>
      <c r="F6" s="13" t="n">
        <v>1450</v>
      </c>
      <c r="G6" s="54" t="n">
        <v>-0.066</v>
      </c>
      <c r="H6" s="54" t="n">
        <v>0.06</v>
      </c>
    </row>
    <row r="7" customFormat="false" ht="15" hidden="false" customHeight="false" outlineLevel="0" collapsed="false">
      <c r="A7" s="14" t="s">
        <v>756</v>
      </c>
      <c r="B7" s="51" t="n">
        <v>83.57</v>
      </c>
      <c r="C7" s="52" t="n">
        <v>0.023</v>
      </c>
      <c r="D7" s="14"/>
      <c r="E7" s="57" t="n">
        <v>38.5</v>
      </c>
      <c r="F7" s="15" t="n">
        <v>1680</v>
      </c>
      <c r="G7" s="55" t="n">
        <v>0.097</v>
      </c>
      <c r="H7" s="55" t="n">
        <v>0.06</v>
      </c>
    </row>
    <row r="8" customFormat="false" ht="15" hidden="false" customHeight="false" outlineLevel="0" collapsed="false">
      <c r="A8" s="12" t="s">
        <v>1365</v>
      </c>
      <c r="B8" s="50" t="n">
        <v>70.97</v>
      </c>
      <c r="C8" s="59" t="n">
        <v>-0.151</v>
      </c>
      <c r="D8" s="12"/>
      <c r="E8" s="56" t="n">
        <v>25.7</v>
      </c>
      <c r="F8" s="13" t="n">
        <v>1820</v>
      </c>
      <c r="G8" s="54" t="n">
        <v>0.07</v>
      </c>
      <c r="H8" s="54" t="n">
        <v>0.058</v>
      </c>
    </row>
    <row r="9" customFormat="false" ht="15" hidden="false" customHeight="false" outlineLevel="0" collapsed="false">
      <c r="A9" s="14" t="s">
        <v>858</v>
      </c>
      <c r="B9" s="51" t="n">
        <v>70.95</v>
      </c>
      <c r="C9" s="52" t="n">
        <v>0</v>
      </c>
      <c r="D9" s="76" t="n">
        <v>9.8</v>
      </c>
      <c r="E9" s="57" t="n">
        <v>9.7</v>
      </c>
      <c r="F9" s="15" t="n">
        <v>2210</v>
      </c>
      <c r="G9" s="55" t="n">
        <v>0.082</v>
      </c>
      <c r="H9" s="55" t="n">
        <v>0.054</v>
      </c>
    </row>
    <row r="10" customFormat="false" ht="15" hidden="false" customHeight="false" outlineLevel="0" collapsed="false">
      <c r="A10" s="12" t="s">
        <v>757</v>
      </c>
      <c r="B10" s="50" t="n">
        <v>81.04</v>
      </c>
      <c r="C10" s="59" t="n">
        <v>0.142</v>
      </c>
      <c r="D10" s="77" t="n">
        <v>12.1</v>
      </c>
      <c r="E10" s="56" t="n">
        <v>14.3</v>
      </c>
      <c r="F10" s="13" t="n">
        <v>2625</v>
      </c>
      <c r="G10" s="54" t="n">
        <v>0.071</v>
      </c>
      <c r="H10" s="54" t="n">
        <v>0.049</v>
      </c>
    </row>
    <row r="11" customFormat="false" ht="15" hidden="false" customHeight="false" outlineLevel="0" collapsed="false">
      <c r="A11" s="14" t="s">
        <v>758</v>
      </c>
      <c r="B11" s="51" t="n">
        <v>58.85</v>
      </c>
      <c r="C11" s="52" t="n">
        <v>-0.274</v>
      </c>
      <c r="D11" s="76" t="n">
        <v>14.39</v>
      </c>
      <c r="E11" s="57" t="n">
        <v>11.7</v>
      </c>
      <c r="F11" s="15" t="n">
        <v>2858</v>
      </c>
      <c r="G11" s="55" t="n">
        <v>0.077</v>
      </c>
      <c r="H11" s="55" t="n">
        <v>0.032</v>
      </c>
    </row>
    <row r="30" customFormat="false" ht="15" hidden="false" customHeight="false" outlineLevel="0" collapsed="false">
      <c r="A30" s="78" t="s">
        <v>1366</v>
      </c>
      <c r="B30" s="78"/>
      <c r="C30" s="78"/>
      <c r="D30" s="78"/>
      <c r="E30" s="78"/>
      <c r="F30" s="78"/>
      <c r="G30" s="78"/>
      <c r="H30" s="78"/>
    </row>
    <row r="31" customFormat="false" ht="55.5" hidden="false" customHeight="true" outlineLevel="0" collapsed="false">
      <c r="A31" s="22" t="s">
        <v>1367</v>
      </c>
      <c r="B31" s="22"/>
      <c r="C31" s="22"/>
      <c r="D31" s="22"/>
      <c r="E31" s="22"/>
      <c r="F31" s="22"/>
      <c r="G31" s="22"/>
      <c r="H31" s="22"/>
    </row>
  </sheetData>
  <mergeCells count="5">
    <mergeCell ref="A1:H1"/>
    <mergeCell ref="A2:H2"/>
    <mergeCell ref="A4:H4"/>
    <mergeCell ref="A30:H30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11"/>
    <col collapsed="false" customWidth="true" hidden="false" outlineLevel="0" max="6" min="6" style="0" width="30"/>
    <col collapsed="false" customWidth="true" hidden="false" outlineLevel="0" max="7" min="7" style="0" width="50"/>
    <col collapsed="false" customWidth="true" hidden="false" outlineLevel="0" max="8" min="8" style="0" width="18"/>
  </cols>
  <sheetData>
    <row r="1" customFormat="false" ht="25.5" hidden="false" customHeight="true" outlineLevel="0" collapsed="false">
      <c r="A1" s="1" t="s">
        <v>1368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1369</v>
      </c>
      <c r="B2" s="2"/>
      <c r="C2" s="2"/>
      <c r="D2" s="2"/>
      <c r="E2" s="2"/>
      <c r="F2" s="2"/>
      <c r="G2" s="2"/>
      <c r="H2" s="2"/>
    </row>
    <row r="4" customFormat="false" ht="36" hidden="false" customHeight="true" outlineLevel="0" collapsed="false">
      <c r="A4" s="11" t="s">
        <v>1370</v>
      </c>
      <c r="B4" s="11" t="s">
        <v>1371</v>
      </c>
      <c r="C4" s="11" t="s">
        <v>1372</v>
      </c>
      <c r="D4" s="11" t="s">
        <v>1373</v>
      </c>
      <c r="E4" s="11" t="s">
        <v>1374</v>
      </c>
      <c r="F4" s="11" t="s">
        <v>1375</v>
      </c>
      <c r="G4" s="11" t="s">
        <v>90</v>
      </c>
      <c r="H4" s="11" t="s">
        <v>1376</v>
      </c>
    </row>
    <row r="5" customFormat="false" ht="15" hidden="false" customHeight="false" outlineLevel="0" collapsed="false">
      <c r="A5" s="12" t="s">
        <v>1377</v>
      </c>
      <c r="B5" s="12" t="s">
        <v>1378</v>
      </c>
      <c r="C5" s="12" t="s">
        <v>1379</v>
      </c>
      <c r="D5" s="12" t="s">
        <v>1380</v>
      </c>
      <c r="E5" s="47" t="s">
        <v>914</v>
      </c>
      <c r="F5" s="12" t="s">
        <v>1381</v>
      </c>
      <c r="G5" s="12" t="s">
        <v>1382</v>
      </c>
      <c r="H5" s="12" t="s">
        <v>1383</v>
      </c>
    </row>
    <row r="6" customFormat="false" ht="15" hidden="false" customHeight="false" outlineLevel="0" collapsed="false">
      <c r="A6" s="14" t="s">
        <v>1384</v>
      </c>
      <c r="B6" s="14" t="s">
        <v>1378</v>
      </c>
      <c r="C6" s="14" t="s">
        <v>1385</v>
      </c>
      <c r="D6" s="14" t="s">
        <v>1386</v>
      </c>
      <c r="E6" s="14" t="s">
        <v>914</v>
      </c>
      <c r="F6" s="14" t="s">
        <v>1387</v>
      </c>
      <c r="G6" s="14" t="s">
        <v>1388</v>
      </c>
      <c r="H6" s="14" t="s">
        <v>1383</v>
      </c>
    </row>
    <row r="7" customFormat="false" ht="15" hidden="false" customHeight="false" outlineLevel="0" collapsed="false">
      <c r="A7" s="12" t="s">
        <v>1389</v>
      </c>
      <c r="B7" s="12" t="s">
        <v>1390</v>
      </c>
      <c r="C7" s="12" t="s">
        <v>1391</v>
      </c>
      <c r="D7" s="12" t="s">
        <v>1392</v>
      </c>
      <c r="E7" s="65" t="s">
        <v>906</v>
      </c>
      <c r="F7" s="12" t="s">
        <v>1393</v>
      </c>
      <c r="G7" s="12" t="s">
        <v>1394</v>
      </c>
      <c r="H7" s="12" t="s">
        <v>1383</v>
      </c>
    </row>
    <row r="8" customFormat="false" ht="15" hidden="false" customHeight="false" outlineLevel="0" collapsed="false">
      <c r="A8" s="14" t="s">
        <v>1395</v>
      </c>
      <c r="B8" s="14" t="s">
        <v>1390</v>
      </c>
      <c r="C8" s="14" t="s">
        <v>1396</v>
      </c>
      <c r="D8" s="14" t="s">
        <v>1397</v>
      </c>
      <c r="E8" s="14" t="s">
        <v>906</v>
      </c>
      <c r="F8" s="14" t="s">
        <v>1398</v>
      </c>
      <c r="G8" s="14" t="s">
        <v>1399</v>
      </c>
      <c r="H8" s="14" t="s">
        <v>1383</v>
      </c>
    </row>
    <row r="9" customFormat="false" ht="15" hidden="false" customHeight="false" outlineLevel="0" collapsed="false">
      <c r="A9" s="12" t="s">
        <v>1400</v>
      </c>
      <c r="B9" s="12" t="s">
        <v>1401</v>
      </c>
      <c r="C9" s="12" t="s">
        <v>1402</v>
      </c>
      <c r="D9" s="12" t="s">
        <v>1403</v>
      </c>
      <c r="E9" s="46" t="s">
        <v>1323</v>
      </c>
      <c r="F9" s="12" t="s">
        <v>1404</v>
      </c>
      <c r="G9" s="12" t="s">
        <v>1405</v>
      </c>
      <c r="H9" s="12" t="s">
        <v>1383</v>
      </c>
    </row>
    <row r="10" customFormat="false" ht="15" hidden="false" customHeight="false" outlineLevel="0" collapsed="false">
      <c r="A10" s="14" t="s">
        <v>1406</v>
      </c>
      <c r="B10" s="14" t="s">
        <v>1407</v>
      </c>
      <c r="C10" s="14" t="s">
        <v>1408</v>
      </c>
      <c r="D10" s="14" t="s">
        <v>1409</v>
      </c>
      <c r="E10" s="14" t="s">
        <v>1323</v>
      </c>
      <c r="F10" s="14" t="s">
        <v>1410</v>
      </c>
      <c r="G10" s="14" t="s">
        <v>1411</v>
      </c>
      <c r="H10" s="14" t="s">
        <v>1383</v>
      </c>
    </row>
    <row r="11" customFormat="false" ht="15" hidden="false" customHeight="false" outlineLevel="0" collapsed="false">
      <c r="A11" s="12" t="s">
        <v>1412</v>
      </c>
      <c r="B11" s="12" t="s">
        <v>1390</v>
      </c>
      <c r="C11" s="12" t="s">
        <v>1413</v>
      </c>
      <c r="D11" s="12" t="s">
        <v>1414</v>
      </c>
      <c r="E11" s="65" t="s">
        <v>906</v>
      </c>
      <c r="F11" s="12" t="s">
        <v>1415</v>
      </c>
      <c r="G11" s="12" t="s">
        <v>1416</v>
      </c>
      <c r="H11" s="12" t="s">
        <v>1383</v>
      </c>
    </row>
    <row r="12" customFormat="false" ht="15" hidden="false" customHeight="false" outlineLevel="0" collapsed="false">
      <c r="A12" s="14" t="s">
        <v>1417</v>
      </c>
      <c r="B12" s="14" t="s">
        <v>1418</v>
      </c>
      <c r="C12" s="14" t="s">
        <v>1419</v>
      </c>
      <c r="D12" s="14" t="s">
        <v>1420</v>
      </c>
      <c r="E12" s="14" t="s">
        <v>1323</v>
      </c>
      <c r="F12" s="14" t="s">
        <v>1421</v>
      </c>
      <c r="G12" s="14" t="s">
        <v>1422</v>
      </c>
      <c r="H12" s="14" t="s">
        <v>1383</v>
      </c>
    </row>
    <row r="13" customFormat="false" ht="15" hidden="false" customHeight="false" outlineLevel="0" collapsed="false">
      <c r="A13" s="12" t="s">
        <v>1423</v>
      </c>
      <c r="B13" s="12" t="s">
        <v>1390</v>
      </c>
      <c r="C13" s="12" t="s">
        <v>1424</v>
      </c>
      <c r="D13" s="12" t="s">
        <v>1425</v>
      </c>
      <c r="E13" s="65" t="s">
        <v>906</v>
      </c>
      <c r="F13" s="12" t="s">
        <v>1393</v>
      </c>
      <c r="G13" s="12" t="s">
        <v>1426</v>
      </c>
      <c r="H13" s="12" t="s">
        <v>1383</v>
      </c>
    </row>
    <row r="14" customFormat="false" ht="15" hidden="false" customHeight="false" outlineLevel="0" collapsed="false">
      <c r="A14" s="14" t="s">
        <v>1427</v>
      </c>
      <c r="B14" s="14" t="s">
        <v>1407</v>
      </c>
      <c r="C14" s="14" t="s">
        <v>1428</v>
      </c>
      <c r="D14" s="14" t="s">
        <v>1429</v>
      </c>
      <c r="E14" s="14" t="s">
        <v>1323</v>
      </c>
      <c r="F14" s="14" t="s">
        <v>1430</v>
      </c>
      <c r="G14" s="14" t="s">
        <v>1431</v>
      </c>
      <c r="H14" s="14" t="s">
        <v>1383</v>
      </c>
    </row>
    <row r="15" customFormat="false" ht="15" hidden="false" customHeight="false" outlineLevel="0" collapsed="false">
      <c r="A15" s="12" t="s">
        <v>1432</v>
      </c>
      <c r="B15" s="12" t="s">
        <v>1390</v>
      </c>
      <c r="C15" s="12" t="s">
        <v>1433</v>
      </c>
      <c r="D15" s="12" t="s">
        <v>1434</v>
      </c>
      <c r="E15" s="46" t="s">
        <v>1323</v>
      </c>
      <c r="F15" s="12" t="s">
        <v>1435</v>
      </c>
      <c r="G15" s="12" t="s">
        <v>1436</v>
      </c>
      <c r="H15" s="12" t="s">
        <v>1383</v>
      </c>
    </row>
    <row r="16" customFormat="false" ht="15" hidden="false" customHeight="false" outlineLevel="0" collapsed="false">
      <c r="A16" s="14" t="s">
        <v>1437</v>
      </c>
      <c r="B16" s="14" t="s">
        <v>1438</v>
      </c>
      <c r="C16" s="14" t="s">
        <v>1439</v>
      </c>
      <c r="D16" s="14" t="s">
        <v>1440</v>
      </c>
      <c r="E16" s="14" t="s">
        <v>932</v>
      </c>
      <c r="F16" s="14" t="s">
        <v>1441</v>
      </c>
      <c r="G16" s="14" t="s">
        <v>1442</v>
      </c>
      <c r="H16" s="14" t="s">
        <v>1443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2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46"/>
    <col collapsed="false" customWidth="true" hidden="false" outlineLevel="0" max="7" min="7" style="0" width="11"/>
  </cols>
  <sheetData>
    <row r="1" customFormat="false" ht="25.5" hidden="false" customHeight="true" outlineLevel="0" collapsed="false">
      <c r="A1" s="1" t="s">
        <v>1444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1445</v>
      </c>
      <c r="B2" s="2"/>
      <c r="C2" s="2"/>
      <c r="D2" s="2"/>
      <c r="E2" s="2"/>
      <c r="F2" s="2"/>
      <c r="G2" s="2"/>
    </row>
    <row r="4" customFormat="false" ht="36" hidden="false" customHeight="true" outlineLevel="0" collapsed="false">
      <c r="A4" s="11" t="s">
        <v>1446</v>
      </c>
      <c r="B4" s="11" t="s">
        <v>1447</v>
      </c>
      <c r="C4" s="11" t="s">
        <v>1448</v>
      </c>
      <c r="D4" s="11" t="s">
        <v>1449</v>
      </c>
      <c r="E4" s="11" t="s">
        <v>68</v>
      </c>
      <c r="F4" s="11" t="s">
        <v>1450</v>
      </c>
      <c r="G4" s="11" t="s">
        <v>905</v>
      </c>
    </row>
    <row r="5" customFormat="false" ht="57.75" hidden="false" customHeight="true" outlineLevel="0" collapsed="false">
      <c r="A5" s="12" t="s">
        <v>1451</v>
      </c>
      <c r="B5" s="12" t="s">
        <v>1452</v>
      </c>
      <c r="C5" s="12" t="s">
        <v>1453</v>
      </c>
      <c r="D5" s="12" t="s">
        <v>83</v>
      </c>
      <c r="E5" s="12" t="s">
        <v>1454</v>
      </c>
      <c r="F5" s="12" t="s">
        <v>1455</v>
      </c>
      <c r="G5" s="65" t="s">
        <v>513</v>
      </c>
    </row>
    <row r="6" customFormat="false" ht="57.75" hidden="false" customHeight="true" outlineLevel="0" collapsed="false">
      <c r="A6" s="12" t="s">
        <v>1456</v>
      </c>
      <c r="B6" s="12" t="s">
        <v>1457</v>
      </c>
      <c r="C6" s="12" t="s">
        <v>508</v>
      </c>
      <c r="D6" s="12" t="s">
        <v>81</v>
      </c>
      <c r="E6" s="12" t="s">
        <v>1458</v>
      </c>
      <c r="F6" s="12" t="s">
        <v>1459</v>
      </c>
      <c r="G6" s="46" t="s">
        <v>527</v>
      </c>
    </row>
    <row r="7" customFormat="false" ht="57.75" hidden="false" customHeight="true" outlineLevel="0" collapsed="false">
      <c r="A7" s="12" t="s">
        <v>1460</v>
      </c>
      <c r="B7" s="12" t="s">
        <v>1461</v>
      </c>
      <c r="C7" s="12" t="s">
        <v>1462</v>
      </c>
      <c r="D7" s="12" t="s">
        <v>1463</v>
      </c>
      <c r="E7" s="12" t="s">
        <v>1464</v>
      </c>
      <c r="F7" s="12" t="s">
        <v>1465</v>
      </c>
      <c r="G7" s="65" t="s">
        <v>513</v>
      </c>
    </row>
    <row r="8" customFormat="false" ht="57.75" hidden="false" customHeight="true" outlineLevel="0" collapsed="false">
      <c r="A8" s="12" t="s">
        <v>1466</v>
      </c>
      <c r="B8" s="12" t="s">
        <v>1467</v>
      </c>
      <c r="C8" s="12" t="s">
        <v>140</v>
      </c>
      <c r="D8" s="12" t="s">
        <v>1468</v>
      </c>
      <c r="E8" s="12" t="s">
        <v>1469</v>
      </c>
      <c r="F8" s="12" t="s">
        <v>1470</v>
      </c>
      <c r="G8" s="65" t="s">
        <v>513</v>
      </c>
    </row>
    <row r="9" customFormat="false" ht="57.75" hidden="false" customHeight="true" outlineLevel="0" collapsed="false">
      <c r="A9" s="12" t="s">
        <v>1471</v>
      </c>
      <c r="B9" s="12" t="s">
        <v>1472</v>
      </c>
      <c r="C9" s="12" t="s">
        <v>228</v>
      </c>
      <c r="D9" s="12" t="s">
        <v>1473</v>
      </c>
      <c r="E9" s="12" t="s">
        <v>1474</v>
      </c>
      <c r="F9" s="12" t="s">
        <v>1475</v>
      </c>
      <c r="G9" s="65" t="s">
        <v>513</v>
      </c>
    </row>
    <row r="10" customFormat="false" ht="57.75" hidden="false" customHeight="true" outlineLevel="0" collapsed="false">
      <c r="A10" s="12" t="s">
        <v>1476</v>
      </c>
      <c r="B10" s="12" t="s">
        <v>1477</v>
      </c>
      <c r="C10" s="12" t="s">
        <v>1151</v>
      </c>
      <c r="D10" s="12" t="s">
        <v>84</v>
      </c>
      <c r="E10" s="12" t="s">
        <v>1478</v>
      </c>
      <c r="F10" s="12" t="s">
        <v>1479</v>
      </c>
      <c r="G10" s="47" t="s">
        <v>572</v>
      </c>
    </row>
    <row r="11" customFormat="false" ht="57.75" hidden="false" customHeight="true" outlineLevel="0" collapsed="false">
      <c r="A11" s="12" t="s">
        <v>1480</v>
      </c>
      <c r="B11" s="12" t="s">
        <v>1481</v>
      </c>
      <c r="C11" s="12" t="s">
        <v>1482</v>
      </c>
      <c r="D11" s="12" t="s">
        <v>739</v>
      </c>
      <c r="E11" s="12" t="s">
        <v>1483</v>
      </c>
      <c r="F11" s="12" t="s">
        <v>1484</v>
      </c>
      <c r="G11" s="65" t="s">
        <v>513</v>
      </c>
    </row>
    <row r="12" customFormat="false" ht="57.75" hidden="false" customHeight="true" outlineLevel="0" collapsed="false">
      <c r="A12" s="12" t="s">
        <v>1485</v>
      </c>
      <c r="B12" s="12" t="s">
        <v>1486</v>
      </c>
      <c r="C12" s="12" t="s">
        <v>508</v>
      </c>
      <c r="D12" s="12" t="s">
        <v>338</v>
      </c>
      <c r="E12" s="12" t="s">
        <v>552</v>
      </c>
      <c r="F12" s="12" t="s">
        <v>1487</v>
      </c>
      <c r="G12" s="46" t="s">
        <v>527</v>
      </c>
    </row>
    <row r="13" customFormat="false" ht="57.75" hidden="false" customHeight="true" outlineLevel="0" collapsed="false">
      <c r="A13" s="12" t="s">
        <v>1488</v>
      </c>
      <c r="B13" s="12" t="s">
        <v>1489</v>
      </c>
      <c r="C13" s="12" t="s">
        <v>982</v>
      </c>
      <c r="D13" s="12" t="s">
        <v>1490</v>
      </c>
      <c r="E13" s="12" t="s">
        <v>1464</v>
      </c>
      <c r="F13" s="12" t="s">
        <v>1491</v>
      </c>
      <c r="G13" s="46" t="s">
        <v>527</v>
      </c>
    </row>
    <row r="14" customFormat="false" ht="57.75" hidden="false" customHeight="true" outlineLevel="0" collapsed="false">
      <c r="A14" s="12" t="s">
        <v>1492</v>
      </c>
      <c r="B14" s="12" t="s">
        <v>1493</v>
      </c>
      <c r="C14" s="12" t="s">
        <v>1494</v>
      </c>
      <c r="D14" s="12" t="s">
        <v>85</v>
      </c>
      <c r="E14" s="12" t="s">
        <v>1495</v>
      </c>
      <c r="F14" s="12" t="s">
        <v>1496</v>
      </c>
      <c r="G14" s="46" t="s">
        <v>527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5" min="4" style="0" width="2"/>
  </cols>
  <sheetData>
    <row r="1" customFormat="false" ht="25.5" hidden="false" customHeight="true" outlineLevel="0" collapsed="false">
      <c r="A1" s="1" t="s">
        <v>1497</v>
      </c>
      <c r="B1" s="1"/>
      <c r="C1" s="1"/>
      <c r="D1" s="1"/>
      <c r="E1" s="1"/>
    </row>
    <row r="2" customFormat="false" ht="15" hidden="false" customHeight="true" outlineLevel="0" collapsed="false">
      <c r="A2" s="2"/>
      <c r="B2" s="2"/>
      <c r="C2" s="2"/>
      <c r="D2" s="2"/>
      <c r="E2" s="2"/>
    </row>
    <row r="4" customFormat="false" ht="21.75" hidden="false" customHeight="true" outlineLevel="0" collapsed="false">
      <c r="B4" s="19" t="s">
        <v>1498</v>
      </c>
      <c r="C4" s="19"/>
      <c r="D4" s="19"/>
      <c r="E4" s="19"/>
    </row>
    <row r="5" customFormat="false" ht="27.75" hidden="false" customHeight="true" outlineLevel="0" collapsed="false">
      <c r="B5" s="79" t="s">
        <v>1499</v>
      </c>
      <c r="C5" s="3" t="s">
        <v>1500</v>
      </c>
      <c r="D5" s="3"/>
      <c r="E5" s="3"/>
    </row>
    <row r="6" customFormat="false" ht="42" hidden="false" customHeight="true" outlineLevel="0" collapsed="false">
      <c r="B6" s="79" t="s">
        <v>1501</v>
      </c>
      <c r="C6" s="3" t="s">
        <v>1502</v>
      </c>
      <c r="D6" s="3"/>
      <c r="E6" s="3"/>
    </row>
    <row r="7" customFormat="false" ht="42" hidden="false" customHeight="true" outlineLevel="0" collapsed="false">
      <c r="B7" s="79" t="s">
        <v>1503</v>
      </c>
      <c r="C7" s="3" t="s">
        <v>1504</v>
      </c>
      <c r="D7" s="3"/>
      <c r="E7" s="3"/>
    </row>
    <row r="8" customFormat="false" ht="55.5" hidden="false" customHeight="true" outlineLevel="0" collapsed="false">
      <c r="B8" s="79" t="s">
        <v>1505</v>
      </c>
      <c r="C8" s="3" t="s">
        <v>1506</v>
      </c>
      <c r="D8" s="3"/>
      <c r="E8" s="3"/>
    </row>
    <row r="9" customFormat="false" ht="7.5" hidden="false" customHeight="true" outlineLevel="0" collapsed="false"/>
    <row r="10" customFormat="false" ht="21.75" hidden="false" customHeight="true" outlineLevel="0" collapsed="false">
      <c r="B10" s="19" t="s">
        <v>1507</v>
      </c>
      <c r="C10" s="19"/>
      <c r="D10" s="19"/>
      <c r="E10" s="19"/>
    </row>
    <row r="11" customFormat="false" ht="42" hidden="false" customHeight="true" outlineLevel="0" collapsed="false">
      <c r="B11" s="79" t="s">
        <v>1508</v>
      </c>
      <c r="C11" s="3" t="s">
        <v>1509</v>
      </c>
      <c r="D11" s="3"/>
      <c r="E11" s="3"/>
    </row>
    <row r="12" customFormat="false" ht="27.75" hidden="false" customHeight="true" outlineLevel="0" collapsed="false">
      <c r="B12" s="79" t="s">
        <v>1510</v>
      </c>
      <c r="C12" s="3" t="s">
        <v>1511</v>
      </c>
      <c r="D12" s="3"/>
      <c r="E12" s="3"/>
    </row>
    <row r="13" customFormat="false" ht="27.75" hidden="false" customHeight="true" outlineLevel="0" collapsed="false">
      <c r="B13" s="79" t="s">
        <v>1512</v>
      </c>
      <c r="C13" s="3" t="s">
        <v>1513</v>
      </c>
      <c r="D13" s="3"/>
      <c r="E13" s="3"/>
    </row>
    <row r="14" customFormat="false" ht="27.75" hidden="false" customHeight="true" outlineLevel="0" collapsed="false">
      <c r="B14" s="79" t="s">
        <v>1514</v>
      </c>
      <c r="C14" s="3" t="s">
        <v>1515</v>
      </c>
      <c r="D14" s="3"/>
      <c r="E14" s="3"/>
    </row>
    <row r="15" customFormat="false" ht="27.75" hidden="false" customHeight="true" outlineLevel="0" collapsed="false">
      <c r="B15" s="79" t="s">
        <v>1516</v>
      </c>
      <c r="C15" s="3" t="s">
        <v>1517</v>
      </c>
      <c r="D15" s="3"/>
      <c r="E15" s="3"/>
    </row>
    <row r="16" customFormat="false" ht="27.75" hidden="false" customHeight="true" outlineLevel="0" collapsed="false">
      <c r="B16" s="79" t="s">
        <v>1518</v>
      </c>
      <c r="C16" s="3" t="s">
        <v>1519</v>
      </c>
      <c r="D16" s="3"/>
      <c r="E16" s="3"/>
    </row>
    <row r="17" customFormat="false" ht="7.5" hidden="false" customHeight="true" outlineLevel="0" collapsed="false"/>
    <row r="18" customFormat="false" ht="21.75" hidden="false" customHeight="true" outlineLevel="0" collapsed="false">
      <c r="B18" s="19" t="s">
        <v>1520</v>
      </c>
      <c r="C18" s="19"/>
      <c r="D18" s="19"/>
      <c r="E18" s="19"/>
    </row>
    <row r="19" customFormat="false" ht="69.75" hidden="false" customHeight="true" outlineLevel="0" collapsed="false">
      <c r="B19" s="79" t="s">
        <v>1521</v>
      </c>
      <c r="C19" s="3" t="s">
        <v>1522</v>
      </c>
      <c r="D19" s="3"/>
      <c r="E19" s="3"/>
    </row>
    <row r="20" customFormat="false" ht="55.5" hidden="false" customHeight="true" outlineLevel="0" collapsed="false">
      <c r="B20" s="79" t="s">
        <v>1523</v>
      </c>
      <c r="C20" s="3" t="s">
        <v>1524</v>
      </c>
      <c r="D20" s="3"/>
      <c r="E20" s="3"/>
    </row>
    <row r="21" customFormat="false" ht="7.5" hidden="false" customHeight="true" outlineLevel="0" collapsed="false"/>
    <row r="22" customFormat="false" ht="21.75" hidden="false" customHeight="true" outlineLevel="0" collapsed="false">
      <c r="B22" s="19" t="s">
        <v>1525</v>
      </c>
      <c r="C22" s="19"/>
      <c r="D22" s="19"/>
      <c r="E22" s="19"/>
    </row>
    <row r="23" customFormat="false" ht="55.5" hidden="false" customHeight="true" outlineLevel="0" collapsed="false">
      <c r="B23" s="79" t="s">
        <v>1526</v>
      </c>
      <c r="C23" s="3" t="s">
        <v>1527</v>
      </c>
      <c r="D23" s="3"/>
      <c r="E23" s="3"/>
    </row>
    <row r="24" customFormat="false" ht="69.75" hidden="false" customHeight="true" outlineLevel="0" collapsed="false">
      <c r="B24" s="79" t="s">
        <v>1528</v>
      </c>
      <c r="C24" s="3" t="s">
        <v>1529</v>
      </c>
      <c r="D24" s="3"/>
      <c r="E24" s="3"/>
    </row>
    <row r="25" customFormat="false" ht="27.75" hidden="false" customHeight="true" outlineLevel="0" collapsed="false">
      <c r="B25" s="79" t="s">
        <v>1530</v>
      </c>
      <c r="C25" s="3" t="s">
        <v>1531</v>
      </c>
      <c r="D25" s="3"/>
      <c r="E25" s="3"/>
    </row>
    <row r="26" customFormat="false" ht="7.5" hidden="false" customHeight="true" outlineLevel="0" collapsed="false"/>
    <row r="27" customFormat="false" ht="21.75" hidden="false" customHeight="true" outlineLevel="0" collapsed="false">
      <c r="B27" s="19" t="s">
        <v>1532</v>
      </c>
      <c r="C27" s="19"/>
      <c r="D27" s="19"/>
      <c r="E27" s="19"/>
    </row>
    <row r="28" customFormat="false" ht="42" hidden="false" customHeight="true" outlineLevel="0" collapsed="false">
      <c r="B28" s="79" t="s">
        <v>1533</v>
      </c>
      <c r="C28" s="3" t="s">
        <v>1534</v>
      </c>
      <c r="D28" s="3"/>
      <c r="E28" s="3"/>
    </row>
    <row r="29" customFormat="false" ht="55.5" hidden="false" customHeight="true" outlineLevel="0" collapsed="false">
      <c r="B29" s="79" t="s">
        <v>1535</v>
      </c>
      <c r="C29" s="3" t="s">
        <v>1536</v>
      </c>
      <c r="D29" s="3"/>
      <c r="E29" s="3"/>
    </row>
    <row r="30" customFormat="false" ht="27.75" hidden="false" customHeight="true" outlineLevel="0" collapsed="false">
      <c r="B30" s="79" t="s">
        <v>1537</v>
      </c>
      <c r="C30" s="3" t="s">
        <v>1538</v>
      </c>
      <c r="D30" s="3"/>
      <c r="E30" s="3"/>
    </row>
    <row r="31" customFormat="false" ht="69.75" hidden="false" customHeight="true" outlineLevel="0" collapsed="false">
      <c r="B31" s="79" t="s">
        <v>1539</v>
      </c>
      <c r="C31" s="3" t="s">
        <v>1540</v>
      </c>
      <c r="D31" s="3"/>
      <c r="E31" s="3"/>
    </row>
  </sheetData>
  <mergeCells count="26">
    <mergeCell ref="A1:E1"/>
    <mergeCell ref="A2:E2"/>
    <mergeCell ref="B4:E4"/>
    <mergeCell ref="C5:E5"/>
    <mergeCell ref="C6:E6"/>
    <mergeCell ref="C7:E7"/>
    <mergeCell ref="C8:E8"/>
    <mergeCell ref="B10:E10"/>
    <mergeCell ref="C11:E11"/>
    <mergeCell ref="C12:E12"/>
    <mergeCell ref="C13:E13"/>
    <mergeCell ref="C14:E14"/>
    <mergeCell ref="C15:E15"/>
    <mergeCell ref="C16:E16"/>
    <mergeCell ref="B18:E18"/>
    <mergeCell ref="C19:E19"/>
    <mergeCell ref="C20:E20"/>
    <mergeCell ref="B22:E22"/>
    <mergeCell ref="C23:E23"/>
    <mergeCell ref="C24:E24"/>
    <mergeCell ref="C25:E25"/>
    <mergeCell ref="B27:E27"/>
    <mergeCell ref="C28:E28"/>
    <mergeCell ref="C29:E29"/>
    <mergeCell ref="C30:E30"/>
    <mergeCell ref="C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52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46"/>
  </cols>
  <sheetData>
    <row r="1" customFormat="false" ht="25.5" hidden="false" customHeight="true" outlineLevel="0" collapsed="false">
      <c r="A1" s="1" t="s">
        <v>1541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1542</v>
      </c>
      <c r="B2" s="2"/>
      <c r="C2" s="2"/>
      <c r="D2" s="2"/>
      <c r="E2" s="2"/>
      <c r="F2" s="2"/>
    </row>
    <row r="4" customFormat="false" ht="33.75" hidden="false" customHeight="true" outlineLevel="0" collapsed="false">
      <c r="A4" s="11" t="s">
        <v>1543</v>
      </c>
      <c r="B4" s="11" t="s">
        <v>1544</v>
      </c>
      <c r="C4" s="11" t="s">
        <v>1545</v>
      </c>
      <c r="D4" s="11" t="s">
        <v>1546</v>
      </c>
      <c r="E4" s="11" t="s">
        <v>1547</v>
      </c>
      <c r="F4" s="11" t="s">
        <v>80</v>
      </c>
    </row>
    <row r="5" customFormat="false" ht="39.75" hidden="false" customHeight="true" outlineLevel="0" collapsed="false">
      <c r="A5" s="12" t="s">
        <v>1548</v>
      </c>
      <c r="B5" s="12" t="s">
        <v>1549</v>
      </c>
      <c r="C5" s="12" t="s">
        <v>1550</v>
      </c>
      <c r="D5" s="12" t="s">
        <v>1551</v>
      </c>
      <c r="E5" s="65" t="s">
        <v>1335</v>
      </c>
      <c r="F5" s="12" t="s">
        <v>1552</v>
      </c>
    </row>
    <row r="6" customFormat="false" ht="39.75" hidden="false" customHeight="true" outlineLevel="0" collapsed="false">
      <c r="A6" s="14" t="s">
        <v>1553</v>
      </c>
      <c r="B6" s="14" t="s">
        <v>1554</v>
      </c>
      <c r="C6" s="14" t="s">
        <v>1555</v>
      </c>
      <c r="D6" s="14" t="s">
        <v>1556</v>
      </c>
      <c r="E6" s="14" t="s">
        <v>906</v>
      </c>
      <c r="F6" s="14" t="s">
        <v>1557</v>
      </c>
    </row>
    <row r="7" customFormat="false" ht="39.75" hidden="false" customHeight="true" outlineLevel="0" collapsed="false">
      <c r="A7" s="12" t="s">
        <v>1558</v>
      </c>
      <c r="B7" s="12" t="s">
        <v>1559</v>
      </c>
      <c r="C7" s="12" t="s">
        <v>1560</v>
      </c>
      <c r="D7" s="12" t="s">
        <v>1243</v>
      </c>
      <c r="E7" s="46" t="s">
        <v>1319</v>
      </c>
      <c r="F7" s="12" t="s">
        <v>1561</v>
      </c>
    </row>
    <row r="8" customFormat="false" ht="39.75" hidden="false" customHeight="true" outlineLevel="0" collapsed="false">
      <c r="A8" s="14" t="s">
        <v>1562</v>
      </c>
      <c r="B8" s="14" t="s">
        <v>1563</v>
      </c>
      <c r="C8" s="14" t="s">
        <v>1564</v>
      </c>
      <c r="D8" s="14" t="s">
        <v>1565</v>
      </c>
      <c r="E8" s="14" t="s">
        <v>906</v>
      </c>
      <c r="F8" s="14" t="s">
        <v>1566</v>
      </c>
    </row>
    <row r="9" customFormat="false" ht="39.75" hidden="false" customHeight="true" outlineLevel="0" collapsed="false">
      <c r="A9" s="12" t="s">
        <v>1567</v>
      </c>
      <c r="B9" s="12" t="s">
        <v>1568</v>
      </c>
      <c r="C9" s="12" t="s">
        <v>1569</v>
      </c>
      <c r="D9" s="12" t="s">
        <v>1570</v>
      </c>
      <c r="E9" s="80" t="s">
        <v>906</v>
      </c>
      <c r="F9" s="12" t="s">
        <v>1571</v>
      </c>
    </row>
    <row r="10" customFormat="false" ht="39.75" hidden="false" customHeight="true" outlineLevel="0" collapsed="false">
      <c r="A10" s="14" t="s">
        <v>1572</v>
      </c>
      <c r="B10" s="14" t="s">
        <v>1573</v>
      </c>
      <c r="C10" s="14" t="s">
        <v>1574</v>
      </c>
      <c r="D10" s="14" t="s">
        <v>1575</v>
      </c>
      <c r="E10" s="14" t="s">
        <v>1319</v>
      </c>
      <c r="F10" s="14" t="s">
        <v>1576</v>
      </c>
    </row>
    <row r="11" customFormat="false" ht="39.75" hidden="false" customHeight="true" outlineLevel="0" collapsed="false">
      <c r="A11" s="12" t="s">
        <v>1577</v>
      </c>
      <c r="B11" s="12" t="s">
        <v>1578</v>
      </c>
      <c r="C11" s="12" t="s">
        <v>1579</v>
      </c>
      <c r="D11" s="12" t="s">
        <v>1580</v>
      </c>
      <c r="E11" s="80" t="s">
        <v>906</v>
      </c>
      <c r="F11" s="12" t="s">
        <v>1581</v>
      </c>
    </row>
    <row r="12" customFormat="false" ht="39.75" hidden="false" customHeight="true" outlineLevel="0" collapsed="false">
      <c r="A12" s="14" t="s">
        <v>1582</v>
      </c>
      <c r="B12" s="14" t="s">
        <v>1583</v>
      </c>
      <c r="C12" s="14" t="s">
        <v>1584</v>
      </c>
      <c r="D12" s="14" t="s">
        <v>1585</v>
      </c>
      <c r="E12" s="14" t="s">
        <v>906</v>
      </c>
      <c r="F12" s="14" t="s">
        <v>1586</v>
      </c>
    </row>
    <row r="13" customFormat="false" ht="39.75" hidden="false" customHeight="true" outlineLevel="0" collapsed="false">
      <c r="A13" s="12" t="s">
        <v>1587</v>
      </c>
      <c r="B13" s="12" t="s">
        <v>1588</v>
      </c>
      <c r="C13" s="12" t="s">
        <v>1589</v>
      </c>
      <c r="D13" s="12" t="s">
        <v>709</v>
      </c>
      <c r="E13" s="46" t="s">
        <v>1323</v>
      </c>
      <c r="F13" s="12" t="s">
        <v>1590</v>
      </c>
    </row>
    <row r="14" customFormat="false" ht="39.75" hidden="false" customHeight="true" outlineLevel="0" collapsed="false">
      <c r="A14" s="14" t="s">
        <v>1591</v>
      </c>
      <c r="B14" s="14" t="s">
        <v>1592</v>
      </c>
      <c r="C14" s="14" t="s">
        <v>1593</v>
      </c>
      <c r="D14" s="14" t="s">
        <v>1594</v>
      </c>
      <c r="E14" s="14" t="s">
        <v>1335</v>
      </c>
      <c r="F14" s="14" t="s">
        <v>1595</v>
      </c>
    </row>
    <row r="15" customFormat="false" ht="39.75" hidden="false" customHeight="true" outlineLevel="0" collapsed="false">
      <c r="A15" s="12" t="s">
        <v>1596</v>
      </c>
      <c r="B15" s="12" t="s">
        <v>1597</v>
      </c>
      <c r="C15" s="12" t="s">
        <v>1598</v>
      </c>
      <c r="D15" s="12" t="s">
        <v>557</v>
      </c>
      <c r="E15" s="80" t="s">
        <v>906</v>
      </c>
      <c r="F15" s="12" t="s">
        <v>1599</v>
      </c>
    </row>
    <row r="16" customFormat="false" ht="39.75" hidden="false" customHeight="true" outlineLevel="0" collapsed="false">
      <c r="A16" s="14" t="s">
        <v>1600</v>
      </c>
      <c r="B16" s="14" t="s">
        <v>1601</v>
      </c>
      <c r="C16" s="14" t="s">
        <v>1598</v>
      </c>
      <c r="D16" s="14" t="s">
        <v>591</v>
      </c>
      <c r="E16" s="14" t="s">
        <v>906</v>
      </c>
      <c r="F16" s="14" t="s">
        <v>1602</v>
      </c>
    </row>
    <row r="17" customFormat="false" ht="39.75" hidden="false" customHeight="true" outlineLevel="0" collapsed="false">
      <c r="A17" s="12" t="s">
        <v>1603</v>
      </c>
      <c r="B17" s="12" t="s">
        <v>1604</v>
      </c>
      <c r="C17" s="12" t="s">
        <v>1598</v>
      </c>
      <c r="D17" s="12" t="s">
        <v>567</v>
      </c>
      <c r="E17" s="80" t="s">
        <v>906</v>
      </c>
      <c r="F17" s="12" t="s">
        <v>1605</v>
      </c>
    </row>
    <row r="18" customFormat="false" ht="39.75" hidden="false" customHeight="true" outlineLevel="0" collapsed="false">
      <c r="A18" s="14" t="s">
        <v>1606</v>
      </c>
      <c r="B18" s="14" t="s">
        <v>1607</v>
      </c>
      <c r="C18" s="14" t="s">
        <v>1608</v>
      </c>
      <c r="D18" s="14" t="s">
        <v>1609</v>
      </c>
      <c r="E18" s="14" t="s">
        <v>906</v>
      </c>
      <c r="F18" s="14" t="s">
        <v>1610</v>
      </c>
    </row>
    <row r="19" customFormat="false" ht="39.75" hidden="false" customHeight="true" outlineLevel="0" collapsed="false">
      <c r="A19" s="12" t="s">
        <v>1611</v>
      </c>
      <c r="B19" s="12" t="s">
        <v>1612</v>
      </c>
      <c r="C19" s="12" t="s">
        <v>1613</v>
      </c>
      <c r="D19" s="12" t="s">
        <v>630</v>
      </c>
      <c r="E19" s="80" t="s">
        <v>906</v>
      </c>
      <c r="F19" s="12" t="s">
        <v>1614</v>
      </c>
    </row>
    <row r="20" customFormat="false" ht="39.75" hidden="false" customHeight="true" outlineLevel="0" collapsed="false">
      <c r="A20" s="14" t="s">
        <v>1615</v>
      </c>
      <c r="B20" s="14" t="s">
        <v>1616</v>
      </c>
      <c r="C20" s="14" t="s">
        <v>1617</v>
      </c>
      <c r="D20" s="14" t="s">
        <v>1618</v>
      </c>
      <c r="E20" s="14" t="s">
        <v>1319</v>
      </c>
      <c r="F20" s="14" t="s">
        <v>1619</v>
      </c>
    </row>
    <row r="21" customFormat="false" ht="39.75" hidden="false" customHeight="true" outlineLevel="0" collapsed="false">
      <c r="A21" s="12" t="s">
        <v>1620</v>
      </c>
      <c r="B21" s="12" t="s">
        <v>1621</v>
      </c>
      <c r="C21" s="12" t="s">
        <v>1622</v>
      </c>
      <c r="D21" s="12" t="s">
        <v>1623</v>
      </c>
      <c r="E21" s="46" t="s">
        <v>1323</v>
      </c>
      <c r="F21" s="12" t="s">
        <v>1624</v>
      </c>
    </row>
    <row r="22" customFormat="false" ht="39.75" hidden="false" customHeight="true" outlineLevel="0" collapsed="false">
      <c r="A22" s="14" t="s">
        <v>1625</v>
      </c>
      <c r="B22" s="14" t="s">
        <v>1626</v>
      </c>
      <c r="C22" s="14" t="s">
        <v>1627</v>
      </c>
      <c r="D22" s="14" t="s">
        <v>1628</v>
      </c>
      <c r="E22" s="14" t="s">
        <v>1335</v>
      </c>
      <c r="F22" s="14" t="s">
        <v>1629</v>
      </c>
    </row>
    <row r="23" customFormat="false" ht="39.75" hidden="false" customHeight="true" outlineLevel="0" collapsed="false">
      <c r="A23" s="12" t="s">
        <v>1630</v>
      </c>
      <c r="B23" s="12" t="s">
        <v>1631</v>
      </c>
      <c r="C23" s="12" t="s">
        <v>1627</v>
      </c>
      <c r="D23" s="12" t="s">
        <v>1632</v>
      </c>
      <c r="E23" s="65" t="s">
        <v>1335</v>
      </c>
      <c r="F23" s="12" t="s">
        <v>1633</v>
      </c>
    </row>
    <row r="24" customFormat="false" ht="39.75" hidden="false" customHeight="true" outlineLevel="0" collapsed="false">
      <c r="A24" s="14" t="s">
        <v>1634</v>
      </c>
      <c r="B24" s="14" t="s">
        <v>1635</v>
      </c>
      <c r="C24" s="14" t="s">
        <v>1636</v>
      </c>
      <c r="D24" s="14" t="s">
        <v>1637</v>
      </c>
      <c r="E24" s="14" t="s">
        <v>906</v>
      </c>
      <c r="F24" s="14" t="s">
        <v>1638</v>
      </c>
    </row>
    <row r="25" customFormat="false" ht="39.75" hidden="false" customHeight="true" outlineLevel="0" collapsed="false">
      <c r="A25" s="12" t="s">
        <v>1639</v>
      </c>
      <c r="B25" s="12" t="s">
        <v>1640</v>
      </c>
      <c r="C25" s="12" t="s">
        <v>1564</v>
      </c>
      <c r="D25" s="12" t="s">
        <v>1641</v>
      </c>
      <c r="E25" s="65" t="s">
        <v>1335</v>
      </c>
      <c r="F25" s="12" t="s">
        <v>1642</v>
      </c>
    </row>
    <row r="26" customFormat="false" ht="39.75" hidden="false" customHeight="true" outlineLevel="0" collapsed="false">
      <c r="A26" s="14" t="s">
        <v>1643</v>
      </c>
      <c r="B26" s="14" t="s">
        <v>1644</v>
      </c>
      <c r="C26" s="14" t="s">
        <v>1645</v>
      </c>
      <c r="D26" s="14" t="s">
        <v>1646</v>
      </c>
      <c r="E26" s="14" t="s">
        <v>906</v>
      </c>
      <c r="F26" s="14" t="s">
        <v>1647</v>
      </c>
    </row>
    <row r="27" customFormat="false" ht="39.75" hidden="false" customHeight="true" outlineLevel="0" collapsed="false">
      <c r="A27" s="12" t="s">
        <v>1648</v>
      </c>
      <c r="B27" s="12" t="s">
        <v>1649</v>
      </c>
      <c r="C27" s="12" t="s">
        <v>1650</v>
      </c>
      <c r="D27" s="12" t="s">
        <v>1646</v>
      </c>
      <c r="E27" s="80" t="s">
        <v>906</v>
      </c>
      <c r="F27" s="12" t="s">
        <v>1651</v>
      </c>
    </row>
    <row r="29" customFormat="false" ht="57.75" hidden="false" customHeight="true" outlineLevel="0" collapsed="false">
      <c r="A29" s="22" t="s">
        <v>1652</v>
      </c>
      <c r="B29" s="22"/>
      <c r="C29" s="22"/>
      <c r="D29" s="22"/>
      <c r="E29" s="22"/>
      <c r="F29" s="22"/>
    </row>
  </sheetData>
  <mergeCells count="3">
    <mergeCell ref="A1:F1"/>
    <mergeCell ref="A2:F2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2026-06-20T06:07:12Z</dcterms:created>
  <dc:creator>openpyxl</dc:creator>
  <dc:description/>
  <dc:language>en-US</dc:language>
  <cp:lastModifiedBy/>
  <dcterms:modified xsi:type="dcterms:W3CDTF">2026-06-20T06:07:29Z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